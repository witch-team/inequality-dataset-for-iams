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C:\Users\malerba\OneDrive - German Institute of Development and Sustainability (IDOS)\data johannes\files johannes settlement\"/>
    </mc:Choice>
  </mc:AlternateContent>
  <bookViews>
    <workbookView xWindow="0" yWindow="0" windowWidth="19200" windowHeight="7050"/>
  </bookViews>
  <sheets>
    <sheet name="Sheet1" sheetId="1" r:id="rId1"/>
    <sheet name="Sheet2" sheetId="2" r:id="rId2"/>
  </sheets>
  <calcPr calcId="162913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82" i="2" l="1"/>
  <c r="B382" i="2"/>
  <c r="B366" i="2"/>
  <c r="C366" i="2"/>
  <c r="B367" i="2"/>
  <c r="C367" i="2"/>
  <c r="B368" i="2"/>
  <c r="C368" i="2"/>
  <c r="B369" i="2"/>
  <c r="C369" i="2"/>
  <c r="B370" i="2"/>
  <c r="C370" i="2"/>
  <c r="B371" i="2"/>
  <c r="C371" i="2"/>
  <c r="B372" i="2"/>
  <c r="C372" i="2"/>
  <c r="B373" i="2"/>
  <c r="C373" i="2"/>
  <c r="B374" i="2"/>
  <c r="C374" i="2"/>
  <c r="C365" i="2"/>
  <c r="B365" i="2"/>
  <c r="B348" i="2"/>
  <c r="C348" i="2"/>
  <c r="B349" i="2"/>
  <c r="C349" i="2"/>
  <c r="B350" i="2"/>
  <c r="C350" i="2"/>
  <c r="B351" i="2"/>
  <c r="C351" i="2"/>
  <c r="B352" i="2"/>
  <c r="C352" i="2"/>
  <c r="B353" i="2"/>
  <c r="C353" i="2"/>
  <c r="B354" i="2"/>
  <c r="C354" i="2"/>
  <c r="B355" i="2"/>
  <c r="C355" i="2"/>
  <c r="B356" i="2"/>
  <c r="C356" i="2"/>
  <c r="C347" i="2"/>
  <c r="B347" i="2"/>
  <c r="B330" i="2"/>
  <c r="C330" i="2"/>
  <c r="B331" i="2"/>
  <c r="C331" i="2"/>
  <c r="B332" i="2"/>
  <c r="C332" i="2"/>
  <c r="B333" i="2"/>
  <c r="C333" i="2"/>
  <c r="B334" i="2"/>
  <c r="C334" i="2"/>
  <c r="B335" i="2"/>
  <c r="C335" i="2"/>
  <c r="B336" i="2"/>
  <c r="C336" i="2"/>
  <c r="B337" i="2"/>
  <c r="C337" i="2"/>
  <c r="B338" i="2"/>
  <c r="C338" i="2"/>
  <c r="C329" i="2"/>
  <c r="B329" i="2"/>
  <c r="C303" i="2"/>
  <c r="B303" i="2"/>
  <c r="B174" i="2" l="1"/>
  <c r="C174" i="2"/>
  <c r="B175" i="2"/>
  <c r="C175" i="2"/>
  <c r="B176" i="2"/>
  <c r="C176" i="2"/>
  <c r="B177" i="2"/>
  <c r="C177" i="2"/>
  <c r="B178" i="2"/>
  <c r="C178" i="2"/>
  <c r="B179" i="2"/>
  <c r="C179" i="2"/>
  <c r="B180" i="2"/>
  <c r="C180" i="2"/>
  <c r="B181" i="2"/>
  <c r="C181" i="2"/>
  <c r="B182" i="2"/>
  <c r="C182" i="2"/>
  <c r="B183" i="2"/>
  <c r="C183" i="2"/>
  <c r="B184" i="2"/>
  <c r="C184" i="2"/>
  <c r="B185" i="2"/>
  <c r="C185" i="2"/>
  <c r="B186" i="2"/>
  <c r="C186" i="2"/>
  <c r="B187" i="2"/>
  <c r="C187" i="2"/>
  <c r="B188" i="2"/>
  <c r="C188" i="2"/>
  <c r="B189" i="2"/>
  <c r="C189" i="2"/>
  <c r="B190" i="2"/>
  <c r="C190" i="2"/>
  <c r="B191" i="2"/>
  <c r="C191" i="2"/>
  <c r="B192" i="2"/>
  <c r="C192" i="2"/>
  <c r="B193" i="2"/>
  <c r="C193" i="2"/>
  <c r="B194" i="2"/>
  <c r="C194" i="2"/>
  <c r="B195" i="2"/>
  <c r="C195" i="2"/>
  <c r="B196" i="2"/>
  <c r="C196" i="2"/>
  <c r="B197" i="2"/>
  <c r="C197" i="2"/>
  <c r="B198" i="2"/>
  <c r="C198" i="2"/>
  <c r="B199" i="2"/>
  <c r="C199" i="2"/>
  <c r="B200" i="2"/>
  <c r="C200" i="2"/>
  <c r="B201" i="2"/>
  <c r="C201" i="2"/>
  <c r="B202" i="2"/>
  <c r="C202" i="2"/>
  <c r="B203" i="2"/>
  <c r="C203" i="2"/>
  <c r="B204" i="2"/>
  <c r="C204" i="2"/>
  <c r="B205" i="2"/>
  <c r="C205" i="2"/>
  <c r="B206" i="2"/>
  <c r="C206" i="2"/>
  <c r="B207" i="2"/>
  <c r="C207" i="2"/>
  <c r="B208" i="2"/>
  <c r="C208" i="2"/>
  <c r="B209" i="2"/>
  <c r="C209" i="2"/>
  <c r="B210" i="2"/>
  <c r="C210" i="2"/>
  <c r="B211" i="2"/>
  <c r="C211" i="2"/>
  <c r="B212" i="2"/>
  <c r="C212" i="2"/>
  <c r="B213" i="2"/>
  <c r="C213" i="2"/>
  <c r="B214" i="2"/>
  <c r="C214" i="2"/>
  <c r="B215" i="2"/>
  <c r="C215" i="2"/>
  <c r="B216" i="2"/>
  <c r="C216" i="2"/>
  <c r="B217" i="2"/>
  <c r="C217" i="2"/>
  <c r="B218" i="2"/>
  <c r="C218" i="2"/>
  <c r="B219" i="2"/>
  <c r="C219" i="2"/>
  <c r="B220" i="2"/>
  <c r="C220" i="2"/>
  <c r="B221" i="2"/>
  <c r="C221" i="2"/>
  <c r="B222" i="2"/>
  <c r="C222" i="2"/>
  <c r="B223" i="2"/>
  <c r="C223" i="2"/>
  <c r="B224" i="2"/>
  <c r="C224" i="2"/>
  <c r="B225" i="2"/>
  <c r="C225" i="2"/>
  <c r="B226" i="2"/>
  <c r="C226" i="2"/>
  <c r="B227" i="2"/>
  <c r="C227" i="2"/>
  <c r="B228" i="2"/>
  <c r="C228" i="2"/>
  <c r="B229" i="2"/>
  <c r="C229" i="2"/>
  <c r="B230" i="2"/>
  <c r="C230" i="2"/>
  <c r="B231" i="2"/>
  <c r="C231" i="2"/>
  <c r="B232" i="2"/>
  <c r="C232" i="2"/>
  <c r="B233" i="2"/>
  <c r="C233" i="2"/>
  <c r="B234" i="2"/>
  <c r="C234" i="2"/>
  <c r="B235" i="2"/>
  <c r="C235" i="2"/>
  <c r="B236" i="2"/>
  <c r="C236" i="2"/>
  <c r="B237" i="2"/>
  <c r="C237" i="2"/>
  <c r="B238" i="2"/>
  <c r="C238" i="2"/>
  <c r="B239" i="2"/>
  <c r="C239" i="2"/>
  <c r="B240" i="2"/>
  <c r="C240" i="2"/>
  <c r="B241" i="2"/>
  <c r="C241" i="2"/>
  <c r="B242" i="2"/>
  <c r="C242" i="2"/>
  <c r="B243" i="2"/>
  <c r="C243" i="2"/>
  <c r="B244" i="2"/>
  <c r="C244" i="2"/>
  <c r="B245" i="2"/>
  <c r="C245" i="2"/>
  <c r="B246" i="2"/>
  <c r="C246" i="2"/>
  <c r="B247" i="2"/>
  <c r="C247" i="2"/>
  <c r="B248" i="2"/>
  <c r="C248" i="2"/>
  <c r="B249" i="2"/>
  <c r="C249" i="2"/>
  <c r="B250" i="2"/>
  <c r="C250" i="2"/>
  <c r="B251" i="2"/>
  <c r="C251" i="2"/>
  <c r="B252" i="2"/>
  <c r="C252" i="2"/>
  <c r="B253" i="2"/>
  <c r="C253" i="2"/>
  <c r="B254" i="2"/>
  <c r="C254" i="2"/>
  <c r="C173" i="2"/>
  <c r="B173" i="2"/>
  <c r="B91" i="2"/>
  <c r="C91" i="2"/>
  <c r="B92" i="2"/>
  <c r="C92" i="2"/>
  <c r="B93" i="2"/>
  <c r="C93" i="2"/>
  <c r="B94" i="2"/>
  <c r="C94" i="2"/>
  <c r="B95" i="2"/>
  <c r="C95" i="2"/>
  <c r="B96" i="2"/>
  <c r="C96" i="2"/>
  <c r="B97" i="2"/>
  <c r="C97" i="2"/>
  <c r="B98" i="2"/>
  <c r="C98" i="2"/>
  <c r="B99" i="2"/>
  <c r="C99" i="2"/>
  <c r="B100" i="2"/>
  <c r="C100" i="2"/>
  <c r="B101" i="2"/>
  <c r="C101" i="2"/>
  <c r="B102" i="2"/>
  <c r="C102" i="2"/>
  <c r="B103" i="2"/>
  <c r="C103" i="2"/>
  <c r="B104" i="2"/>
  <c r="C104" i="2"/>
  <c r="B105" i="2"/>
  <c r="C105" i="2"/>
  <c r="B106" i="2"/>
  <c r="C106" i="2"/>
  <c r="B107" i="2"/>
  <c r="C107" i="2"/>
  <c r="B108" i="2"/>
  <c r="C108" i="2"/>
  <c r="B109" i="2"/>
  <c r="C109" i="2"/>
  <c r="B110" i="2"/>
  <c r="C110" i="2"/>
  <c r="B111" i="2"/>
  <c r="C111" i="2"/>
  <c r="B112" i="2"/>
  <c r="C112" i="2"/>
  <c r="B113" i="2"/>
  <c r="C113" i="2"/>
  <c r="B114" i="2"/>
  <c r="C114" i="2"/>
  <c r="B115" i="2"/>
  <c r="C115" i="2"/>
  <c r="B116" i="2"/>
  <c r="C116" i="2"/>
  <c r="B117" i="2"/>
  <c r="C117" i="2"/>
  <c r="B118" i="2"/>
  <c r="C118" i="2"/>
  <c r="B119" i="2"/>
  <c r="C119" i="2"/>
  <c r="B120" i="2"/>
  <c r="C120" i="2"/>
  <c r="B121" i="2"/>
  <c r="C121" i="2"/>
  <c r="B122" i="2"/>
  <c r="C122" i="2"/>
  <c r="B123" i="2"/>
  <c r="C123" i="2"/>
  <c r="B124" i="2"/>
  <c r="C124" i="2"/>
  <c r="B125" i="2"/>
  <c r="C125" i="2"/>
  <c r="B126" i="2"/>
  <c r="C126" i="2"/>
  <c r="B127" i="2"/>
  <c r="C127" i="2"/>
  <c r="B128" i="2"/>
  <c r="C128" i="2"/>
  <c r="B129" i="2"/>
  <c r="C129" i="2"/>
  <c r="B130" i="2"/>
  <c r="C130" i="2"/>
  <c r="B131" i="2"/>
  <c r="C131" i="2"/>
  <c r="B132" i="2"/>
  <c r="C132" i="2"/>
  <c r="B133" i="2"/>
  <c r="C133" i="2"/>
  <c r="B134" i="2"/>
  <c r="C134" i="2"/>
  <c r="B135" i="2"/>
  <c r="C135" i="2"/>
  <c r="B136" i="2"/>
  <c r="C136" i="2"/>
  <c r="B137" i="2"/>
  <c r="C137" i="2"/>
  <c r="B138" i="2"/>
  <c r="C138" i="2"/>
  <c r="B139" i="2"/>
  <c r="C139" i="2"/>
  <c r="B140" i="2"/>
  <c r="C140" i="2"/>
  <c r="B141" i="2"/>
  <c r="C141" i="2"/>
  <c r="B142" i="2"/>
  <c r="C142" i="2"/>
  <c r="B143" i="2"/>
  <c r="C143" i="2"/>
  <c r="B144" i="2"/>
  <c r="C144" i="2"/>
  <c r="B36" i="2"/>
  <c r="C36" i="2"/>
  <c r="B37" i="2"/>
  <c r="C37" i="2"/>
  <c r="B38" i="2"/>
  <c r="C38" i="2"/>
  <c r="B39" i="2"/>
  <c r="C39" i="2"/>
  <c r="B40" i="2"/>
  <c r="C40" i="2"/>
  <c r="B41" i="2"/>
  <c r="C41" i="2"/>
  <c r="B42" i="2"/>
  <c r="C42" i="2"/>
  <c r="B43" i="2"/>
  <c r="C43" i="2"/>
  <c r="B44" i="2"/>
  <c r="C44" i="2"/>
  <c r="B45" i="2"/>
  <c r="C45" i="2"/>
  <c r="B46" i="2"/>
  <c r="C46" i="2"/>
  <c r="B47" i="2"/>
  <c r="C47" i="2"/>
  <c r="B48" i="2"/>
  <c r="C48" i="2"/>
  <c r="B49" i="2"/>
  <c r="C49" i="2"/>
  <c r="B50" i="2"/>
  <c r="C50" i="2"/>
  <c r="B51" i="2"/>
  <c r="C51" i="2"/>
  <c r="B52" i="2"/>
  <c r="C52" i="2"/>
  <c r="B53" i="2"/>
  <c r="C53" i="2"/>
  <c r="B54" i="2"/>
  <c r="C54" i="2"/>
  <c r="B55" i="2"/>
  <c r="C55" i="2"/>
  <c r="B56" i="2"/>
  <c r="C56" i="2"/>
  <c r="B57" i="2"/>
  <c r="C57" i="2"/>
  <c r="B58" i="2"/>
  <c r="C58" i="2"/>
  <c r="B59" i="2"/>
  <c r="C59" i="2"/>
  <c r="B60" i="2"/>
  <c r="C60" i="2"/>
  <c r="B61" i="2"/>
  <c r="C61" i="2"/>
  <c r="B62" i="2"/>
  <c r="C62" i="2"/>
  <c r="B63" i="2"/>
  <c r="C63" i="2"/>
  <c r="B64" i="2"/>
  <c r="C64" i="2"/>
  <c r="B65" i="2"/>
  <c r="C65" i="2"/>
  <c r="B66" i="2"/>
  <c r="C66" i="2"/>
  <c r="B67" i="2"/>
  <c r="C67" i="2"/>
  <c r="B68" i="2"/>
  <c r="C68" i="2"/>
  <c r="B69" i="2"/>
  <c r="C69" i="2"/>
  <c r="B70" i="2"/>
  <c r="C70" i="2"/>
  <c r="B71" i="2"/>
  <c r="C71" i="2"/>
  <c r="B72" i="2"/>
  <c r="C72" i="2"/>
  <c r="B73" i="2"/>
  <c r="C73" i="2"/>
  <c r="B74" i="2"/>
  <c r="C74" i="2"/>
  <c r="B75" i="2"/>
  <c r="C75" i="2"/>
  <c r="B76" i="2"/>
  <c r="C76" i="2"/>
  <c r="B77" i="2"/>
  <c r="C77" i="2"/>
  <c r="B78" i="2"/>
  <c r="C78" i="2"/>
  <c r="B79" i="2"/>
  <c r="C79" i="2"/>
  <c r="B80" i="2"/>
  <c r="C80" i="2"/>
  <c r="B81" i="2"/>
  <c r="C81" i="2"/>
  <c r="B82" i="2"/>
  <c r="C82" i="2"/>
  <c r="B83" i="2"/>
  <c r="C83" i="2"/>
  <c r="B84" i="2"/>
  <c r="C84" i="2"/>
  <c r="B85" i="2"/>
  <c r="C85" i="2"/>
  <c r="B86" i="2"/>
  <c r="C86" i="2"/>
  <c r="B87" i="2"/>
  <c r="C87" i="2"/>
  <c r="B88" i="2"/>
  <c r="C88" i="2"/>
  <c r="B89" i="2"/>
  <c r="C89" i="2"/>
  <c r="B90" i="2"/>
  <c r="C90" i="2"/>
  <c r="B9" i="2"/>
  <c r="C9" i="2"/>
  <c r="B10" i="2"/>
  <c r="C10" i="2"/>
  <c r="B11" i="2"/>
  <c r="C11" i="2"/>
  <c r="B12" i="2"/>
  <c r="C12" i="2"/>
  <c r="B13" i="2"/>
  <c r="C13" i="2"/>
  <c r="B14" i="2"/>
  <c r="C14" i="2"/>
  <c r="B15" i="2"/>
  <c r="C15" i="2"/>
  <c r="B16" i="2"/>
  <c r="C16" i="2"/>
  <c r="B17" i="2"/>
  <c r="C17" i="2"/>
  <c r="B18" i="2"/>
  <c r="C18" i="2"/>
  <c r="B19" i="2"/>
  <c r="C19" i="2"/>
  <c r="B20" i="2"/>
  <c r="C20" i="2"/>
  <c r="B21" i="2"/>
  <c r="C21" i="2"/>
  <c r="B22" i="2"/>
  <c r="C22" i="2"/>
  <c r="B23" i="2"/>
  <c r="C23" i="2"/>
  <c r="B24" i="2"/>
  <c r="C24" i="2"/>
  <c r="B25" i="2"/>
  <c r="C25" i="2"/>
  <c r="B26" i="2"/>
  <c r="C26" i="2"/>
  <c r="B27" i="2"/>
  <c r="C27" i="2"/>
  <c r="B28" i="2"/>
  <c r="C28" i="2"/>
  <c r="B29" i="2"/>
  <c r="C29" i="2"/>
  <c r="B30" i="2"/>
  <c r="C30" i="2"/>
  <c r="B31" i="2"/>
  <c r="C31" i="2"/>
  <c r="B32" i="2"/>
  <c r="C32" i="2"/>
  <c r="B33" i="2"/>
  <c r="C33" i="2"/>
  <c r="B34" i="2"/>
  <c r="C34" i="2"/>
  <c r="B35" i="2"/>
  <c r="C35" i="2"/>
  <c r="C8" i="2"/>
  <c r="B8" i="2"/>
  <c r="B155" i="2" l="1"/>
  <c r="G83" i="1" s="1"/>
  <c r="C155" i="2"/>
  <c r="H83" i="1" s="1"/>
  <c r="B156" i="2"/>
  <c r="G84" i="1" s="1"/>
  <c r="C156" i="2"/>
  <c r="H84" i="1" s="1"/>
  <c r="B157" i="2"/>
  <c r="G85" i="1" s="1"/>
  <c r="C157" i="2"/>
  <c r="H85" i="1" s="1"/>
  <c r="B158" i="2"/>
  <c r="G86" i="1" s="1"/>
  <c r="C158" i="2"/>
  <c r="H86" i="1" s="1"/>
  <c r="B159" i="2"/>
  <c r="G87" i="1" s="1"/>
  <c r="C159" i="2"/>
  <c r="H87" i="1" s="1"/>
  <c r="B160" i="2"/>
  <c r="G88" i="1" s="1"/>
  <c r="C160" i="2"/>
  <c r="H88" i="1" s="1"/>
  <c r="B161" i="2"/>
  <c r="G89" i="1" s="1"/>
  <c r="C161" i="2"/>
  <c r="H89" i="1" s="1"/>
  <c r="B162" i="2"/>
  <c r="G90" i="1" s="1"/>
  <c r="C162" i="2"/>
  <c r="H90" i="1" s="1"/>
  <c r="B163" i="2"/>
  <c r="G91" i="1" s="1"/>
  <c r="C163" i="2"/>
  <c r="H91" i="1" s="1"/>
  <c r="C154" i="2"/>
  <c r="B154" i="2"/>
  <c r="G82" i="1" s="1"/>
  <c r="C263" i="2"/>
  <c r="B263" i="2"/>
  <c r="H82" i="1" l="1"/>
  <c r="G123" i="1" l="1"/>
  <c r="H123" i="1"/>
  <c r="G124" i="1"/>
  <c r="H124" i="1"/>
  <c r="G125" i="1"/>
  <c r="H125" i="1"/>
  <c r="G126" i="1"/>
  <c r="H126" i="1"/>
  <c r="G127" i="1"/>
  <c r="H127" i="1"/>
  <c r="G128" i="1"/>
  <c r="H128" i="1"/>
  <c r="G129" i="1"/>
  <c r="H129" i="1"/>
  <c r="G130" i="1"/>
  <c r="H130" i="1"/>
  <c r="G131" i="1"/>
  <c r="H131" i="1"/>
  <c r="H134" i="1"/>
  <c r="H140" i="1"/>
  <c r="H122" i="1"/>
  <c r="G122" i="1"/>
  <c r="G113" i="1"/>
  <c r="H113" i="1"/>
  <c r="G114" i="1"/>
  <c r="H114" i="1"/>
  <c r="G115" i="1"/>
  <c r="H115" i="1"/>
  <c r="G116" i="1"/>
  <c r="H116" i="1"/>
  <c r="G117" i="1"/>
  <c r="H117" i="1"/>
  <c r="G118" i="1"/>
  <c r="H118" i="1"/>
  <c r="G119" i="1"/>
  <c r="H119" i="1"/>
  <c r="G120" i="1"/>
  <c r="H120" i="1"/>
  <c r="G121" i="1"/>
  <c r="H121" i="1"/>
  <c r="H112" i="1"/>
  <c r="G112" i="1"/>
  <c r="G103" i="1"/>
  <c r="H103" i="1"/>
  <c r="G104" i="1"/>
  <c r="H104" i="1"/>
  <c r="G105" i="1"/>
  <c r="H105" i="1"/>
  <c r="G106" i="1"/>
  <c r="H106" i="1"/>
  <c r="G107" i="1"/>
  <c r="H107" i="1"/>
  <c r="G108" i="1"/>
  <c r="H108" i="1"/>
  <c r="G109" i="1"/>
  <c r="H109" i="1"/>
  <c r="G110" i="1"/>
  <c r="H110" i="1"/>
  <c r="G111" i="1"/>
  <c r="H111" i="1"/>
  <c r="H102" i="1"/>
  <c r="G102" i="1"/>
  <c r="G93" i="1"/>
  <c r="H93" i="1"/>
  <c r="G94" i="1"/>
  <c r="H94" i="1"/>
  <c r="G95" i="1"/>
  <c r="H95" i="1"/>
  <c r="G96" i="1"/>
  <c r="H96" i="1"/>
  <c r="G97" i="1"/>
  <c r="H97" i="1"/>
  <c r="G98" i="1"/>
  <c r="H98" i="1"/>
  <c r="G99" i="1"/>
  <c r="H99" i="1"/>
  <c r="G100" i="1"/>
  <c r="H100" i="1"/>
  <c r="G101" i="1"/>
  <c r="H101" i="1"/>
  <c r="H92" i="1"/>
  <c r="G92" i="1"/>
  <c r="H133" i="1"/>
  <c r="G133" i="1"/>
  <c r="H164" i="1"/>
  <c r="G164" i="1"/>
  <c r="G135" i="1"/>
  <c r="H135" i="1"/>
  <c r="G136" i="1"/>
  <c r="H136" i="1"/>
  <c r="G137" i="1"/>
  <c r="H137" i="1"/>
  <c r="G138" i="1"/>
  <c r="H138" i="1"/>
  <c r="G139" i="1"/>
  <c r="H139" i="1"/>
  <c r="G140" i="1"/>
  <c r="G141" i="1"/>
  <c r="H141" i="1"/>
  <c r="G142" i="1"/>
  <c r="H142" i="1"/>
  <c r="G143" i="1"/>
  <c r="H143" i="1"/>
  <c r="G134" i="1"/>
  <c r="H132" i="1"/>
  <c r="G132" i="1"/>
  <c r="H159" i="1" l="1"/>
  <c r="G159" i="1"/>
  <c r="G148" i="1"/>
  <c r="H157" i="1"/>
  <c r="G163" i="1"/>
  <c r="H162" i="1"/>
  <c r="G161" i="1"/>
  <c r="G156" i="1"/>
  <c r="G151" i="1"/>
  <c r="G149" i="1"/>
  <c r="H160" i="1"/>
  <c r="H154" i="1"/>
  <c r="H150" i="1"/>
  <c r="H144" i="1"/>
  <c r="H148" i="1"/>
  <c r="H163" i="1"/>
  <c r="H147" i="1"/>
  <c r="G157" i="1"/>
  <c r="H156" i="1"/>
  <c r="H149" i="1"/>
  <c r="G160" i="1"/>
  <c r="G154" i="1"/>
  <c r="G146" i="1"/>
  <c r="G145" i="1"/>
  <c r="G147" i="1"/>
  <c r="H158" i="1"/>
  <c r="G158" i="1"/>
  <c r="G152" i="1"/>
  <c r="H151" i="1"/>
  <c r="H145" i="1"/>
  <c r="H152" i="1"/>
  <c r="G162" i="1"/>
  <c r="G144" i="1"/>
  <c r="G150" i="1"/>
  <c r="H155" i="1"/>
  <c r="G155" i="1"/>
  <c r="G153" i="1"/>
  <c r="H146" i="1"/>
  <c r="H161" i="1"/>
  <c r="H153" i="1"/>
  <c r="H3" i="1"/>
  <c r="H4" i="1"/>
  <c r="H5" i="1"/>
  <c r="H6" i="1"/>
  <c r="H7" i="1"/>
  <c r="H8" i="1"/>
  <c r="H9" i="1"/>
  <c r="H10" i="1"/>
  <c r="H11" i="1"/>
  <c r="G63" i="1"/>
  <c r="H63" i="1"/>
  <c r="G64" i="1"/>
  <c r="H64" i="1"/>
  <c r="G65" i="1"/>
  <c r="H65" i="1"/>
  <c r="G66" i="1"/>
  <c r="H66" i="1"/>
  <c r="G67" i="1"/>
  <c r="H67" i="1"/>
  <c r="G68" i="1"/>
  <c r="H68" i="1"/>
  <c r="G69" i="1"/>
  <c r="H69" i="1"/>
  <c r="G70" i="1"/>
  <c r="H70" i="1"/>
  <c r="G71" i="1"/>
  <c r="H71" i="1"/>
  <c r="H62" i="1"/>
  <c r="G62" i="1"/>
  <c r="G53" i="1"/>
  <c r="H53" i="1"/>
  <c r="G54" i="1"/>
  <c r="H54" i="1"/>
  <c r="G55" i="1"/>
  <c r="H55" i="1"/>
  <c r="G56" i="1"/>
  <c r="H56" i="1"/>
  <c r="G57" i="1"/>
  <c r="H57" i="1"/>
  <c r="G58" i="1"/>
  <c r="H58" i="1"/>
  <c r="G59" i="1"/>
  <c r="H59" i="1"/>
  <c r="G60" i="1"/>
  <c r="H60" i="1"/>
  <c r="G61" i="1"/>
  <c r="H61" i="1"/>
  <c r="H52" i="1"/>
  <c r="G52" i="1"/>
  <c r="G43" i="1"/>
  <c r="H43" i="1"/>
  <c r="G44" i="1"/>
  <c r="H44" i="1"/>
  <c r="G45" i="1"/>
  <c r="H45" i="1"/>
  <c r="G46" i="1"/>
  <c r="H46" i="1"/>
  <c r="G47" i="1"/>
  <c r="H47" i="1"/>
  <c r="G48" i="1"/>
  <c r="H48" i="1"/>
  <c r="G49" i="1"/>
  <c r="H49" i="1"/>
  <c r="G50" i="1"/>
  <c r="H50" i="1"/>
  <c r="G51" i="1"/>
  <c r="H51" i="1"/>
  <c r="H42" i="1"/>
  <c r="G42" i="1"/>
  <c r="G13" i="1"/>
  <c r="H13" i="1"/>
  <c r="G14" i="1"/>
  <c r="H14" i="1"/>
  <c r="G15" i="1"/>
  <c r="H15" i="1"/>
  <c r="G16" i="1"/>
  <c r="H16" i="1"/>
  <c r="G17" i="1"/>
  <c r="H17" i="1"/>
  <c r="G18" i="1"/>
  <c r="H18" i="1"/>
  <c r="G19" i="1"/>
  <c r="H19" i="1"/>
  <c r="G20" i="1"/>
  <c r="H20" i="1"/>
  <c r="G21" i="1"/>
  <c r="H21" i="1"/>
  <c r="G23" i="1"/>
  <c r="H23" i="1"/>
  <c r="G24" i="1"/>
  <c r="H24" i="1"/>
  <c r="G25" i="1"/>
  <c r="H25" i="1"/>
  <c r="G26" i="1"/>
  <c r="H26" i="1"/>
  <c r="G27" i="1"/>
  <c r="H27" i="1"/>
  <c r="G28" i="1"/>
  <c r="H28" i="1"/>
  <c r="G29" i="1"/>
  <c r="H29" i="1"/>
  <c r="G30" i="1"/>
  <c r="H30" i="1"/>
  <c r="G31" i="1"/>
  <c r="H31" i="1"/>
  <c r="H22" i="1"/>
  <c r="G22" i="1"/>
  <c r="H12" i="1"/>
  <c r="G12" i="1"/>
  <c r="H2" i="1"/>
  <c r="G3" i="1"/>
  <c r="G4" i="1"/>
  <c r="G5" i="1"/>
  <c r="G6" i="1"/>
  <c r="G7" i="1"/>
  <c r="G8" i="1"/>
  <c r="G9" i="1"/>
  <c r="G10" i="1"/>
  <c r="G11" i="1"/>
  <c r="G2" i="1"/>
  <c r="G78" i="1" l="1"/>
  <c r="H77" i="1"/>
  <c r="G77" i="1"/>
  <c r="G72" i="1"/>
  <c r="H76" i="1"/>
  <c r="G81" i="1"/>
  <c r="H80" i="1"/>
  <c r="G80" i="1"/>
  <c r="H79" i="1"/>
  <c r="H73" i="1"/>
  <c r="G79" i="1"/>
  <c r="G73" i="1"/>
  <c r="H72" i="1"/>
  <c r="G76" i="1"/>
  <c r="H81" i="1"/>
  <c r="H75" i="1"/>
  <c r="G75" i="1"/>
  <c r="H74" i="1"/>
  <c r="G74" i="1"/>
  <c r="H78" i="1"/>
</calcChain>
</file>

<file path=xl/sharedStrings.xml><?xml version="1.0" encoding="utf-8"?>
<sst xmlns="http://schemas.openxmlformats.org/spreadsheetml/2006/main" count="1717" uniqueCount="456">
  <si>
    <t>MODEL</t>
  </si>
  <si>
    <t>SCENARIO</t>
  </si>
  <si>
    <t>REGION</t>
  </si>
  <si>
    <t>VARIABLE</t>
  </si>
  <si>
    <t>UNIT</t>
  </si>
  <si>
    <t>Urban</t>
  </si>
  <si>
    <t>Rural</t>
  </si>
  <si>
    <t>Reference</t>
  </si>
  <si>
    <t>Expenditure Share|Food|D1</t>
  </si>
  <si>
    <t>%</t>
  </si>
  <si>
    <t>Expenditure Share|Food|D2</t>
  </si>
  <si>
    <t>Expenditure Share|Food|D3</t>
  </si>
  <si>
    <t>Expenditure Share|Food|D4</t>
  </si>
  <si>
    <t>Expenditure Share|Food|D5</t>
  </si>
  <si>
    <t>Expenditure Share|Food|D6</t>
  </si>
  <si>
    <t>Expenditure Share|Food|D7</t>
  </si>
  <si>
    <t>Expenditure Share|Food|D8</t>
  </si>
  <si>
    <t>Expenditure Share|Food|D9</t>
  </si>
  <si>
    <t>Expenditure Share|Food|D10</t>
  </si>
  <si>
    <t>Expenditure Share|Energy|Housing|D1</t>
  </si>
  <si>
    <t>Expenditure Share|Energy|Housing|D2</t>
  </si>
  <si>
    <t>Expenditure Share|Energy|Housing|D3</t>
  </si>
  <si>
    <t>Expenditure Share|Energy|Housing|D4</t>
  </si>
  <si>
    <t>Expenditure Share|Energy|Housing|D5</t>
  </si>
  <si>
    <t>Expenditure Share|Energy|Housing|D6</t>
  </si>
  <si>
    <t>Expenditure Share|Energy|Housing|D7</t>
  </si>
  <si>
    <t>Expenditure Share|Energy|Housing|D8</t>
  </si>
  <si>
    <t>Expenditure Share|Energy|Housing|D9</t>
  </si>
  <si>
    <t>Expenditure Share|Energy|Housing|D10</t>
  </si>
  <si>
    <t>Expenditure Share|Energy|Transportation|D1</t>
  </si>
  <si>
    <t>Expenditure Share|Energy|Transportation|D2</t>
  </si>
  <si>
    <t>Expenditure Share|Energy|Transportation|D3</t>
  </si>
  <si>
    <t>Expenditure Share|Energy|Transportation|D4</t>
  </si>
  <si>
    <t>Expenditure Share|Energy|Transportation|D5</t>
  </si>
  <si>
    <t>Expenditure Share|Energy|Transportation|D6</t>
  </si>
  <si>
    <t>Expenditure Share|Energy|Transportation|D7</t>
  </si>
  <si>
    <t>Expenditure Share|Energy|Transportation|D8</t>
  </si>
  <si>
    <t>Expenditure Share|Energy|Transportation|D9</t>
  </si>
  <si>
    <t>Expenditure Share|Energy|Transportation|D10</t>
  </si>
  <si>
    <t>Income Share|Agri|D1</t>
  </si>
  <si>
    <t>Income Share|Agri|D2</t>
  </si>
  <si>
    <t>Income Share|Agri|D3</t>
  </si>
  <si>
    <t>Income Share|Agri|D4</t>
  </si>
  <si>
    <t>Income Share|Agri|D5</t>
  </si>
  <si>
    <t>Income Share|Agri|D6</t>
  </si>
  <si>
    <t>Income Share|Agri|D7</t>
  </si>
  <si>
    <t>Income Share|Agri|D8</t>
  </si>
  <si>
    <t>Income Share|Agri|D9</t>
  </si>
  <si>
    <t>Income Share|Agri|D10</t>
  </si>
  <si>
    <t>Income Share|Labour|D1</t>
  </si>
  <si>
    <t>Income Share|Labour|D2</t>
  </si>
  <si>
    <t>Income Share|Labour|D3</t>
  </si>
  <si>
    <t>Income Share|Labour|D4</t>
  </si>
  <si>
    <t>Income Share|Labour|D5</t>
  </si>
  <si>
    <t>Income Share|Labour|D6</t>
  </si>
  <si>
    <t>Income Share|Labour|D7</t>
  </si>
  <si>
    <t>Income Share|Labour|D8</t>
  </si>
  <si>
    <t>Income Share|Labour|D9</t>
  </si>
  <si>
    <t>Income Share|Labour|D10</t>
  </si>
  <si>
    <t>Income Share|Capital|D1</t>
  </si>
  <si>
    <t>Income Share|Capital|D2</t>
  </si>
  <si>
    <t>Income Share|Capital|D3</t>
  </si>
  <si>
    <t>Income Share|Capital|D4</t>
  </si>
  <si>
    <t>Income Share|Capital|D5</t>
  </si>
  <si>
    <t>Income Share|Capital|D6</t>
  </si>
  <si>
    <t>Income Share|Capital|D7</t>
  </si>
  <si>
    <t>Income Share|Capital|D8</t>
  </si>
  <si>
    <t>Income Share|Capital|D9</t>
  </si>
  <si>
    <t>Income Share|Capital|D10</t>
  </si>
  <si>
    <t>Income Share|Transfers|D1</t>
  </si>
  <si>
    <t>Income Share|Transfers|D2</t>
  </si>
  <si>
    <t>Income Share|Transfers|D3</t>
  </si>
  <si>
    <t>Income Share|Transfers|D4</t>
  </si>
  <si>
    <t>Income Share|Transfers|D5</t>
  </si>
  <si>
    <t>Income Share|Transfers|D6</t>
  </si>
  <si>
    <t>Income Share|Transfers|D7</t>
  </si>
  <si>
    <t>Income Share|Transfers|D8</t>
  </si>
  <si>
    <t>Income Share|Transfers|D9</t>
  </si>
  <si>
    <t>Income Share|Transfers|D10</t>
  </si>
  <si>
    <t>Income Share|Other|D1</t>
  </si>
  <si>
    <t>Income Share|Other|D2</t>
  </si>
  <si>
    <t>Income Share|Other|D3</t>
  </si>
  <si>
    <t>Income Share|Other|D4</t>
  </si>
  <si>
    <t>Income Share|Other|D5</t>
  </si>
  <si>
    <t>Income Share|Other|D6</t>
  </si>
  <si>
    <t>Income Share|Other|D7</t>
  </si>
  <si>
    <t>Income Share|Other|D8</t>
  </si>
  <si>
    <t>Income Share|Other|D9</t>
  </si>
  <si>
    <t>Income Share|Other|D10</t>
  </si>
  <si>
    <t>Savings Rate|D1</t>
  </si>
  <si>
    <t>Savings Rate|D2</t>
  </si>
  <si>
    <t>Savings Rate|D3</t>
  </si>
  <si>
    <t>Savings Rate|D4</t>
  </si>
  <si>
    <t>Savings Rate|D5</t>
  </si>
  <si>
    <t>Savings Rate|D6</t>
  </si>
  <si>
    <t>Savings Rate|D7</t>
  </si>
  <si>
    <t>Savings Rate|D8</t>
  </si>
  <si>
    <t>Savings Rate|D9</t>
  </si>
  <si>
    <t>Savings Rate|D10</t>
  </si>
  <si>
    <t>Education|No Education|D1</t>
  </si>
  <si>
    <t>Education|No Education|D2</t>
  </si>
  <si>
    <t>Education|No Education|D3</t>
  </si>
  <si>
    <t>Education|No Education|D4</t>
  </si>
  <si>
    <t>Education|No Education|D5</t>
  </si>
  <si>
    <t>Education|No Education|D6</t>
  </si>
  <si>
    <t>Education|No Education|D7</t>
  </si>
  <si>
    <t>Education|No Education|D8</t>
  </si>
  <si>
    <t>Education|No Education|D9</t>
  </si>
  <si>
    <t>Education|No Education|D10</t>
  </si>
  <si>
    <t>Education|Primary Education|D1</t>
  </si>
  <si>
    <t>Education|Primary Education|D2</t>
  </si>
  <si>
    <t>Education|Primary Education|D3</t>
  </si>
  <si>
    <t>Education|Primary Education|D4</t>
  </si>
  <si>
    <t>Education|Primary Education|D5</t>
  </si>
  <si>
    <t>Education|Primary Education|D6</t>
  </si>
  <si>
    <t>Education|Primary Education|D7</t>
  </si>
  <si>
    <t>Education|Primary Education|D8</t>
  </si>
  <si>
    <t>Education|Primary Education|D9</t>
  </si>
  <si>
    <t>Education|Primary Education|D10</t>
  </si>
  <si>
    <t>Education|Secondary Education|D1</t>
  </si>
  <si>
    <t>Education|Secondary Education|D2</t>
  </si>
  <si>
    <t>Education|Secondary Education|D3</t>
  </si>
  <si>
    <t>Education|Secondary Education|D4</t>
  </si>
  <si>
    <t>Education|Secondary Education|D5</t>
  </si>
  <si>
    <t>Education|Secondary Education|D6</t>
  </si>
  <si>
    <t>Education|Secondary Education|D7</t>
  </si>
  <si>
    <t>Education|Secondary Education|D8</t>
  </si>
  <si>
    <t>Education|Secondary Education|D9</t>
  </si>
  <si>
    <t>Education|Secondary Education|D10</t>
  </si>
  <si>
    <t>Education|Tertiary Education|D1</t>
  </si>
  <si>
    <t>Education|Tertiary Education|D2</t>
  </si>
  <si>
    <t>Education|Tertiary Education|D3</t>
  </si>
  <si>
    <t>Education|Tertiary Education|D4</t>
  </si>
  <si>
    <t>Education|Tertiary Education|D5</t>
  </si>
  <si>
    <t>Education|Tertiary Education|D6</t>
  </si>
  <si>
    <t>Education|Tertiary Education|D7</t>
  </si>
  <si>
    <t>Education|Tertiary Education|D8</t>
  </si>
  <si>
    <t>Education|Tertiary Education|D9</t>
  </si>
  <si>
    <t>Education|Tertiary Education|D10</t>
  </si>
  <si>
    <t>Inequality Index|Gini</t>
  </si>
  <si>
    <t>index</t>
  </si>
  <si>
    <t>Inequality Index|Absolute Poverty</t>
  </si>
  <si>
    <t>Household Size|D1</t>
  </si>
  <si>
    <t>number</t>
  </si>
  <si>
    <t>Household Size|D2</t>
  </si>
  <si>
    <t>Household Size|D3</t>
  </si>
  <si>
    <t>Household Size|D4</t>
  </si>
  <si>
    <t>Household Size|D5</t>
  </si>
  <si>
    <t>Household Size|D6</t>
  </si>
  <si>
    <t>Household Size|D7</t>
  </si>
  <si>
    <t>Household Size|D8</t>
  </si>
  <si>
    <t>Household Size|D9</t>
  </si>
  <si>
    <t>Household Size|D10</t>
  </si>
  <si>
    <t>Expenditure Decile|D1</t>
  </si>
  <si>
    <t>% of total expenditures in a given quantile</t>
  </si>
  <si>
    <t>Expenditure Decile|D2</t>
  </si>
  <si>
    <t>Expenditure Decile|D3</t>
  </si>
  <si>
    <t>Expenditure Decile|D4</t>
  </si>
  <si>
    <t>Expenditure Decile|D5</t>
  </si>
  <si>
    <t>Expenditure Decile|D6</t>
  </si>
  <si>
    <t>Expenditure Decile|D7</t>
  </si>
  <si>
    <t>Expenditure Decile|D8</t>
  </si>
  <si>
    <t>Expenditure Decile|D9</t>
  </si>
  <si>
    <t>Expenditure Decile|D10</t>
  </si>
  <si>
    <t>Income Decile|D1</t>
  </si>
  <si>
    <t>% of total Income in a given quantile</t>
  </si>
  <si>
    <t>Income Decile|D2</t>
  </si>
  <si>
    <t>Income Decile|D3</t>
  </si>
  <si>
    <t>Income Decile|D4</t>
  </si>
  <si>
    <t>Income Decile|D5</t>
  </si>
  <si>
    <t>Income Decile|D6</t>
  </si>
  <si>
    <t>Income Decile|D7</t>
  </si>
  <si>
    <t>Income Decile|D8</t>
  </si>
  <si>
    <t>Income Decile|D9</t>
  </si>
  <si>
    <t>Income Decile|D10</t>
  </si>
  <si>
    <t>Average equivalent household size (OECD scale)</t>
  </si>
  <si>
    <t>***********</t>
  </si>
  <si>
    <t>******************</t>
  </si>
  <si>
    <t>*******************</t>
  </si>
  <si>
    <t>*******************************</t>
  </si>
  <si>
    <t>. table dec</t>
  </si>
  <si>
    <t>uc1 rural [aw=hpop</t>
  </si>
  <si>
    <t>wgt], c(mean food_p</t>
  </si>
  <si>
    <t>c_share)</t>
  </si>
  <si>
    <t>-----------</t>
  </si>
  <si>
    <t>------------------</t>
  </si>
  <si>
    <t>-------------------</t>
  </si>
  <si>
    <t>|</t>
  </si>
  <si>
    <t>rura</t>
  </si>
  <si>
    <t>l area</t>
  </si>
  <si>
    <t>decuc1 |</t>
  </si>
  <si>
    <t>[0]not rural area</t>
  </si>
  <si>
    <t>[1]rural area</t>
  </si>
  <si>
    <t>----------+</t>
  </si>
  <si>
    <t>.1 |</t>
  </si>
  <si>
    <t>.2 |</t>
  </si>
  <si>
    <t>.3 |</t>
  </si>
  <si>
    <t>.4 |</t>
  </si>
  <si>
    <t>.5 |</t>
  </si>
  <si>
    <t>.6 |</t>
  </si>
  <si>
    <t>.7 |</t>
  </si>
  <si>
    <t>.8 |</t>
  </si>
  <si>
    <t>.9 |</t>
  </si>
  <si>
    <t>1 |</t>
  </si>
  <si>
    <t>wgt], c(mean transp</t>
  </si>
  <si>
    <t>ort_en_pc_share)</t>
  </si>
  <si>
    <t>wgt], c(mean housin</t>
  </si>
  <si>
    <t>g_en_pc_share)</t>
  </si>
  <si>
    <t>wgt], c(mean other_</t>
  </si>
  <si>
    <t>pc_share)</t>
  </si>
  <si>
    <t>pc_labour_share)</t>
  </si>
  <si>
    <t>sfer_share_aggr)</t>
  </si>
  <si>
    <t>ur_share_aggr)</t>
  </si>
  <si>
    <t>tal_share_aggr)</t>
  </si>
  <si>
    <t>g</t>
  </si>
  <si>
    <t>wgt], c(mean under_</t>
  </si>
  <si>
    <t>15)</t>
  </si>
  <si>
    <t>wgt], c(mean no_edu</t>
  </si>
  <si>
    <t>cation)</t>
  </si>
  <si>
    <t>wgt], c(mean primar</t>
  </si>
  <si>
    <t>y_education)</t>
  </si>
  <si>
    <t>wgt], c(mean second</t>
  </si>
  <si>
    <t>ary_education)</t>
  </si>
  <si>
    <t>wgt], c(mean tertia</t>
  </si>
  <si>
    <t>ry_education)</t>
  </si>
  <si>
    <t>. table decuc1 rural [aw=ppopwgt], c(mean food_pc_share)</t>
  </si>
  <si>
    <t>------------------------------------------------</t>
  </si>
  <si>
    <t xml:space="preserve">          |              rural area             </t>
  </si>
  <si>
    <t xml:space="preserve">   decuc1 | [0]not rural area      [1]rural area</t>
  </si>
  <si>
    <t>----------+-------------------------------------</t>
  </si>
  <si>
    <t xml:space="preserve">       .1 |          .4898694           .5747053</t>
  </si>
  <si>
    <t xml:space="preserve">       .2 |          .4555925           .5371003</t>
  </si>
  <si>
    <t xml:space="preserve">       .3 |          .4553197           .5374573</t>
  </si>
  <si>
    <t xml:space="preserve">       .4 |          .4542977           .5503213</t>
  </si>
  <si>
    <t xml:space="preserve">       .5 |          .4413375           .4779058</t>
  </si>
  <si>
    <t xml:space="preserve">       .6 |          .4106219           .4842849</t>
  </si>
  <si>
    <t xml:space="preserve">       .7 |          .3791982           .4336673</t>
  </si>
  <si>
    <t xml:space="preserve">       .8 |           .338898           .4194172</t>
  </si>
  <si>
    <t xml:space="preserve">       .9 |          .2792631           .3089725</t>
  </si>
  <si>
    <t xml:space="preserve">        1 |           .229805           .2696308</t>
  </si>
  <si>
    <t>. table decuc1 rural [aw=ppopwgt], c(mean transport_en_pc_share)</t>
  </si>
  <si>
    <t xml:space="preserve">       .1 |          .0488289           .0369062</t>
  </si>
  <si>
    <t xml:space="preserve">       .2 |          .0603874           .0617581</t>
  </si>
  <si>
    <t xml:space="preserve">       .3 |          .0529328           .0508687</t>
  </si>
  <si>
    <t xml:space="preserve">       .4 |          .0747685           .0548771</t>
  </si>
  <si>
    <t xml:space="preserve">       .5 |          .0852593           .0949065</t>
  </si>
  <si>
    <t xml:space="preserve">       .6 |          .0961646           .0926216</t>
  </si>
  <si>
    <t xml:space="preserve">       .7 |          .1113201           .1162308</t>
  </si>
  <si>
    <t xml:space="preserve">       .8 |          .1204218           .1140032</t>
  </si>
  <si>
    <t xml:space="preserve">       .9 |          .1437105           .1394117</t>
  </si>
  <si>
    <t xml:space="preserve">        1 |          .1692847            .242377</t>
  </si>
  <si>
    <t>. table decuc1 rural [aw=ppopwgt], c(mean housing_en_pc_share)</t>
  </si>
  <si>
    <t xml:space="preserve">       .1 |          .1006304           .0955968</t>
  </si>
  <si>
    <t xml:space="preserve">       .2 |          .1008983           .0816205</t>
  </si>
  <si>
    <t xml:space="preserve">       .3 |          .0947156            .088196</t>
  </si>
  <si>
    <t xml:space="preserve">       .4 |          .1031122           .0828862</t>
  </si>
  <si>
    <t xml:space="preserve">       .5 |          .0892263           .0913735</t>
  </si>
  <si>
    <t xml:space="preserve">       .6 |          .0891681           .0738074</t>
  </si>
  <si>
    <t xml:space="preserve">       .7 |          .0933828           .0725652</t>
  </si>
  <si>
    <t xml:space="preserve">       .8 |           .090256           .0613247</t>
  </si>
  <si>
    <t xml:space="preserve">       .9 |          .0848828           .0626521</t>
  </si>
  <si>
    <t xml:space="preserve">        1 |          .0775272           .0601499</t>
  </si>
  <si>
    <t>. table decuc1 rural [aw=ppopwgt], c(mean other_pc_share)</t>
  </si>
  <si>
    <t xml:space="preserve">       .1 |          .3606712           .2927916</t>
  </si>
  <si>
    <t xml:space="preserve">       .2 |          .3831218           .3195211</t>
  </si>
  <si>
    <t xml:space="preserve">       .3 |          .3970318           .3234781</t>
  </si>
  <si>
    <t xml:space="preserve">       .4 |          .3678216           .3119154</t>
  </si>
  <si>
    <t xml:space="preserve">       .5 |          .3841769           .3358141</t>
  </si>
  <si>
    <t xml:space="preserve">       .6 |          .4040455           .3492861</t>
  </si>
  <si>
    <t xml:space="preserve">       .7 |          .4160989           .3775367</t>
  </si>
  <si>
    <t xml:space="preserve">       .8 |          .4504243           .4052549</t>
  </si>
  <si>
    <t xml:space="preserve">       .9 |          .4921436           .4889637</t>
  </si>
  <si>
    <t xml:space="preserve">        1 |           .523383           .4278423</t>
  </si>
  <si>
    <t>. ****************************************************************************</t>
  </si>
  <si>
    <t>. table decuc1 rural [aw=ppopwgt], c(mean hiother_share)</t>
  </si>
  <si>
    <t xml:space="preserve">       .1 |                 0                  0</t>
  </si>
  <si>
    <t xml:space="preserve">       .2 |                 0                  0</t>
  </si>
  <si>
    <t xml:space="preserve">       .3 |                 0                  0</t>
  </si>
  <si>
    <t xml:space="preserve">       .4 |                 0                  0</t>
  </si>
  <si>
    <t xml:space="preserve">       .5 |                 0                  0</t>
  </si>
  <si>
    <t xml:space="preserve">       .6 |                 0                  0</t>
  </si>
  <si>
    <t xml:space="preserve">       .7 |                 0                  0</t>
  </si>
  <si>
    <t xml:space="preserve">       .8 |                 0                  0</t>
  </si>
  <si>
    <t xml:space="preserve">       .9 |                 0                  0</t>
  </si>
  <si>
    <t xml:space="preserve">        1 |                 0                  0</t>
  </si>
  <si>
    <t>. table decuc1 rural [aw=ppopwgt], c(mean hitransfer_share)</t>
  </si>
  <si>
    <t xml:space="preserve">       .1 |           .836547           .8645402</t>
  </si>
  <si>
    <t xml:space="preserve">       .2 |          .6843734           .8338609</t>
  </si>
  <si>
    <t xml:space="preserve">       .3 |          .6464977           .7350565</t>
  </si>
  <si>
    <t xml:space="preserve">       .4 |          .4960395           .6081016</t>
  </si>
  <si>
    <t xml:space="preserve">       .5 |           .376496           .4248552</t>
  </si>
  <si>
    <t xml:space="preserve">       .6 |          .2438871           .2934681</t>
  </si>
  <si>
    <t xml:space="preserve">       .7 |          .1819471           .1612327</t>
  </si>
  <si>
    <t xml:space="preserve">       .8 |          .1631571           .1180166</t>
  </si>
  <si>
    <t xml:space="preserve">       .9 |          .1503002           .0691712</t>
  </si>
  <si>
    <t xml:space="preserve">        1 |          .1970644           .0335025</t>
  </si>
  <si>
    <t>. table decuc1 rural [aw=ppopwgt], c(mean hilabour_share)</t>
  </si>
  <si>
    <t xml:space="preserve">       .1 |          .1555833           .1337999</t>
  </si>
  <si>
    <t xml:space="preserve">       .2 |          .3037378           .1661391</t>
  </si>
  <si>
    <t xml:space="preserve">       .3 |          .3403823           .2622412</t>
  </si>
  <si>
    <t xml:space="preserve">       .4 |          .4723538           .3918402</t>
  </si>
  <si>
    <t xml:space="preserve">       .5 |          .5975477           .5650527</t>
  </si>
  <si>
    <t xml:space="preserve">       .6 |          .7443681            .703297</t>
  </si>
  <si>
    <t xml:space="preserve">       .7 |          .8057036            .835827</t>
  </si>
  <si>
    <t xml:space="preserve">       .8 |          .8212665           .8754831</t>
  </si>
  <si>
    <t xml:space="preserve">       .9 |           .835193           .9264006</t>
  </si>
  <si>
    <t xml:space="preserve">        1 |           .790013            .957864</t>
  </si>
  <si>
    <t>. table decuc1 rural [aw=ppopwgt], c(mean hicapital_share)</t>
  </si>
  <si>
    <t xml:space="preserve">       .1 |          .0078698           .0016599</t>
  </si>
  <si>
    <t xml:space="preserve">       .2 |          .0118887                  0</t>
  </si>
  <si>
    <t xml:space="preserve">       .3 |            .01312           .0027023</t>
  </si>
  <si>
    <t xml:space="preserve">       .4 |          .0316067           .0000581</t>
  </si>
  <si>
    <t xml:space="preserve">       .5 |          .0259563           .0100921</t>
  </si>
  <si>
    <t xml:space="preserve">       .6 |          .0117447           .0032348</t>
  </si>
  <si>
    <t xml:space="preserve">       .7 |          .0123493           .0029403</t>
  </si>
  <si>
    <t xml:space="preserve">       .8 |          .0155764           .0065002</t>
  </si>
  <si>
    <t xml:space="preserve">       .9 |          .0145068           .0044282</t>
  </si>
  <si>
    <t xml:space="preserve">        1 |          .0129226           .0086335</t>
  </si>
  <si>
    <t>. *** saving</t>
  </si>
  <si>
    <t>. *** education is done at the hh level?</t>
  </si>
  <si>
    <t>. table decuc1 rural [aw=ppopwgt], c(mean under_15)</t>
  </si>
  <si>
    <t xml:space="preserve">       .1 |          .3277663           .4146208</t>
  </si>
  <si>
    <t xml:space="preserve">       .2 |          .3341256           .4241427</t>
  </si>
  <si>
    <t xml:space="preserve">       .3 |          .3483744           .4128106</t>
  </si>
  <si>
    <t xml:space="preserve">       .4 |          .3001935           .3448831</t>
  </si>
  <si>
    <t xml:space="preserve">       .5 |          .2672231           .3506129</t>
  </si>
  <si>
    <t xml:space="preserve">       .6 |          .2801136           .3119368</t>
  </si>
  <si>
    <t xml:space="preserve">       .7 |          .2431701           .2393246</t>
  </si>
  <si>
    <t xml:space="preserve">       .8 |          .2207627           .2425845</t>
  </si>
  <si>
    <t xml:space="preserve">       .9 |          .2211794           .2716238</t>
  </si>
  <si>
    <t xml:space="preserve">        1 |          .1869778           .1411183</t>
  </si>
  <si>
    <t>. table decuc1 rural [aw=ppopwgt], c(mean no_education)</t>
  </si>
  <si>
    <t xml:space="preserve">       .1 |          .0172501           .0485506</t>
  </si>
  <si>
    <t xml:space="preserve">       .2 |          .0283829           .0610827</t>
  </si>
  <si>
    <t xml:space="preserve">       .3 |          .0221041           .0771703</t>
  </si>
  <si>
    <t xml:space="preserve">       .4 |          .0229783           .0881774</t>
  </si>
  <si>
    <t xml:space="preserve">       .5 |          .0355026           .0631059</t>
  </si>
  <si>
    <t xml:space="preserve">       .6 |          .0257921           .0601029</t>
  </si>
  <si>
    <t xml:space="preserve">       .7 |          .0145323           .0510012</t>
  </si>
  <si>
    <t xml:space="preserve">       .8 |          .0101831           .0416065</t>
  </si>
  <si>
    <t xml:space="preserve">       .9 |          .0064831           .0074763</t>
  </si>
  <si>
    <t xml:space="preserve">        1 |          .0016257           .0062749</t>
  </si>
  <si>
    <t>. table decuc1 rural [aw=ppopwgt], c(mean primary_education)</t>
  </si>
  <si>
    <t xml:space="preserve">       .1 |          .0996277           .1120329</t>
  </si>
  <si>
    <t xml:space="preserve">       .2 |          .1180187           .1263113</t>
  </si>
  <si>
    <t xml:space="preserve">       .3 |          .1215954           .1367861</t>
  </si>
  <si>
    <t xml:space="preserve">       .4 |          .1478628           .1466606</t>
  </si>
  <si>
    <t xml:space="preserve">       .5 |          .0922828           .1364428</t>
  </si>
  <si>
    <t xml:space="preserve">       .6 |           .070719           .1018729</t>
  </si>
  <si>
    <t xml:space="preserve">       .7 |          .0574161           .1080978</t>
  </si>
  <si>
    <t xml:space="preserve">       .8 |          .0412243           .0880307</t>
  </si>
  <si>
    <t xml:space="preserve">       .9 |          .0265777           .0602084</t>
  </si>
  <si>
    <t xml:space="preserve">        1 |          .0062926           .0089691</t>
  </si>
  <si>
    <t>. table decuc1 rural [aw=ppopwgt], c(mean secondary_education)</t>
  </si>
  <si>
    <t xml:space="preserve">       .1 |           .532093           .4142464</t>
  </si>
  <si>
    <t xml:space="preserve">       .2 |          .5106211           .3825837</t>
  </si>
  <si>
    <t xml:space="preserve">       .3 |          .4986989            .365353</t>
  </si>
  <si>
    <t xml:space="preserve">       .4 |           .517121           .4103664</t>
  </si>
  <si>
    <t xml:space="preserve">       .5 |          .5931477           .4369363</t>
  </si>
  <si>
    <t xml:space="preserve">       .6 |          .6034508           .5133209</t>
  </si>
  <si>
    <t xml:space="preserve">       .7 |          .6527061           .5842358</t>
  </si>
  <si>
    <t xml:space="preserve">       .8 |          .6799101           .5991913</t>
  </si>
  <si>
    <t xml:space="preserve">       .9 |          .6585096           .6108138</t>
  </si>
  <si>
    <t xml:space="preserve">        1 |          .5643144           .6437902</t>
  </si>
  <si>
    <t>. table decuc1 rural [aw=ppopwgt], c(mean tertiary_education)</t>
  </si>
  <si>
    <t xml:space="preserve">       .1 |           .011176            .000597</t>
  </si>
  <si>
    <t xml:space="preserve">       .2 |          .0019228           .0011181</t>
  </si>
  <si>
    <t xml:space="preserve">       .3 |          .0027724           .0039958</t>
  </si>
  <si>
    <t xml:space="preserve">       .4 |          .0069501           .0014583</t>
  </si>
  <si>
    <t xml:space="preserve">       .5 |          .0064154             .00244</t>
  </si>
  <si>
    <t xml:space="preserve">       .6 |          .0046537           .0032553</t>
  </si>
  <si>
    <t xml:space="preserve">       .7 |          .0117733           .0060516</t>
  </si>
  <si>
    <t xml:space="preserve">       .8 |          .0351907           .0197714</t>
  </si>
  <si>
    <t xml:space="preserve">       .9 |          .0770769           .0448308</t>
  </si>
  <si>
    <t xml:space="preserve">        1 |          .2255575           .1781674</t>
  </si>
  <si>
    <t>*******************************************************</t>
  </si>
  <si>
    <t>. *** savinD221A201:D224A201:D227A201:D230A128A201:D219A201:E268</t>
  </si>
  <si>
    <t>*******************************************************************************</t>
  </si>
  <si>
    <t>. table decuc1 rural [aw=ppopwgt], c(mean saving_rate)</t>
  </si>
  <si>
    <t xml:space="preserve">       .1 |         -10.98659          -5.382082</t>
  </si>
  <si>
    <t xml:space="preserve">       .2 |         -.3911046           .0755601</t>
  </si>
  <si>
    <t xml:space="preserve">       .3 |         -.0157023           .2720832</t>
  </si>
  <si>
    <t xml:space="preserve">       .4 |          .1419307           .4180329</t>
  </si>
  <si>
    <t xml:space="preserve">       .5 |          .2202323           .4799462</t>
  </si>
  <si>
    <t xml:space="preserve">       .6 |          .3603547           .5383558</t>
  </si>
  <si>
    <t xml:space="preserve">       .7 |          .4016832           .5872819</t>
  </si>
  <si>
    <t xml:space="preserve">       .8 |          .4526542           .6589016</t>
  </si>
  <si>
    <t xml:space="preserve">       .9 |           .474112           .6641943</t>
  </si>
  <si>
    <t xml:space="preserve">        1 |          .5638619           .7675022</t>
  </si>
  <si>
    <t>. ****************************</t>
  </si>
  <si>
    <t>. table rural [aw=ppopwgt], c(mean poor)</t>
  </si>
  <si>
    <t>(analytic weights assumed)</t>
  </si>
  <si>
    <t xml:space="preserve"> </t>
  </si>
  <si>
    <t>Percentile ratios</t>
  </si>
  <si>
    <t>----------------------------------------------------------</t>
  </si>
  <si>
    <t xml:space="preserve">  All obs |    p90/p10     p90/p50     p10/p50     p75/p25</t>
  </si>
  <si>
    <t>----------+-----------------------------------------------</t>
  </si>
  <si>
    <t xml:space="preserve">  </t>
  </si>
  <si>
    <t>Generalized Entropy index GE(2), and Gini coefficient</t>
  </si>
  <si>
    <t>----------------------------------</t>
  </si>
  <si>
    <t xml:space="preserve">  All obs |      GE(2)        Gini</t>
  </si>
  <si>
    <t>----------+-----------------------</t>
  </si>
  <si>
    <t>. table decuc1 rural [aw=ppopwgt], c(mean nhhmem)</t>
  </si>
  <si>
    <t>. table  rural [aw=ppopwgt], c(mean OECD_scale)</t>
  </si>
  <si>
    <t>. ineqdec0 hitotal_pc [w=ppopwgt], bygroup(rural)</t>
  </si>
  <si>
    <t>Subgroup summary statistics, for each subgroup k = 1,...,K:</t>
  </si>
  <si>
    <t>---------------------------------------------------------------------------------------------</t>
  </si>
  <si>
    <t xml:space="preserve">       rural area |   Popn. share           Mean  Relative mean   Income share      log(mean)</t>
  </si>
  <si>
    <t>------------------+--------------------------------------------------------------------------</t>
  </si>
  <si>
    <t xml:space="preserve">Subgroup indices: GE_2(a) and Gini_k </t>
  </si>
  <si>
    <t>Within-group inequality, GE_W(a)</t>
  </si>
  <si>
    <t>----------------------</t>
  </si>
  <si>
    <t xml:space="preserve">  All obs |      GE(2)</t>
  </si>
  <si>
    <t>----------+-----------</t>
  </si>
  <si>
    <t>Between-group inequality, GE_B(a):</t>
  </si>
  <si>
    <t>uc1 rural [aw=ppop</t>
  </si>
  <si>
    <t>. *********</t>
  </si>
  <si>
    <t>******************************</t>
  </si>
  <si>
    <t>wgt], c(mean hiothe</t>
  </si>
  <si>
    <t>r_share)</t>
  </si>
  <si>
    <t>wgt], c(mean hitran</t>
  </si>
  <si>
    <t>sfer_share)</t>
  </si>
  <si>
    <t>wgt], c(mean hilabo</t>
  </si>
  <si>
    <t>ur_share)</t>
  </si>
  <si>
    <t>wgt], c(mean hicapi</t>
  </si>
  <si>
    <t>tal_share)</t>
  </si>
  <si>
    <t>. *** savin</t>
  </si>
  <si>
    <t>wgt], c(mean saving</t>
  </si>
  <si>
    <t>_rate)</t>
  </si>
  <si>
    <t>. *** educa</t>
  </si>
  <si>
    <t>tion is done at th</t>
  </si>
  <si>
    <t>e hh level?</t>
  </si>
  <si>
    <t>wgt], c(mean hcexp_</t>
  </si>
  <si>
    <t>pc)</t>
  </si>
  <si>
    <t>wgt], c(mean hitota</t>
  </si>
  <si>
    <t>l_pc)</t>
  </si>
  <si>
    <t>---------------</t>
  </si>
  <si>
    <t>rural area |</t>
  </si>
  <si>
    <t>mean(OECD_s~e)</t>
  </si>
  <si>
    <t>------------------+</t>
  </si>
  <si>
    <t>[0]not rural area |</t>
  </si>
  <si>
    <t>[1]rural area |</t>
  </si>
  <si>
    <t>mean(poor)</t>
  </si>
  <si>
    <t>GE(2)</t>
  </si>
  <si>
    <t>Gini</t>
  </si>
  <si>
    <t>------------</t>
  </si>
  <si>
    <t>Warning: hitotal_pc has 200 values = 0. Used in calculations</t>
  </si>
  <si>
    <t xml:space="preserve">          |      5.935       2.367       0.399       2.422</t>
  </si>
  <si>
    <t xml:space="preserve">          |    0.49296     0.40231</t>
  </si>
  <si>
    <t>[0]not rural area |       0.25649   346063.88117        1.36500        0.35011       12.75438</t>
  </si>
  <si>
    <t xml:space="preserve">    [1]rural area |       0.74351   221602.80909        0.87408        0.64989       12.30864</t>
  </si>
  <si>
    <t xml:space="preserve">                . |                                                                          </t>
  </si>
  <si>
    <t xml:space="preserve">          |    0.46998</t>
  </si>
  <si>
    <t xml:space="preserve">          |    0.02298</t>
  </si>
  <si>
    <t>. |</t>
  </si>
  <si>
    <t>MLI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</si>
</sst>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43" formatCode="_(* #,##0.00_);_(* \(#,##0.00\);_(* &quot;-&quot;??_);_(@_)"/>
  </numFmts>
  <fonts count="3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2"/>
      <color theme="1"/>
      <name val="Courier New"/>
      <family val="3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10">
    <xf numFmtId="0" fontId="0" fillId="0" borderId="0" xfId="0"/>
    <xf numFmtId="0" fontId="0" fillId="0" borderId="0" xfId="0" applyAlignment="1">
      <alignment horizontal="center"/>
    </xf>
    <xf numFmtId="0" fontId="0" fillId="2" borderId="0" xfId="0" applyFill="1"/>
    <xf numFmtId="10" fontId="0" fillId="0" borderId="0" xfId="1" applyNumberFormat="1" applyFont="1"/>
    <xf numFmtId="10" fontId="0" fillId="2" borderId="0" xfId="1" applyNumberFormat="1" applyFont="1" applyFill="1"/>
    <xf numFmtId="43" fontId="0" fillId="0" borderId="0" xfId="2" applyFont="1"/>
    <xf numFmtId="2" fontId="0" fillId="0" borderId="0" xfId="1" applyNumberFormat="1" applyFont="1"/>
    <xf numFmtId="0" fontId="2" fillId="0" borderId="0" xfId="0" applyFont="1"/>
    <xf numFmtId="0" fontId="2" fillId="2" borderId="0" xfId="0" applyFont="1" applyFill="1"/>
    <xf numFmtId="11" fontId="0" fillId="0" borderId="0" xfId="0" applyNumberFormat="1"/>
  </cellXfs>
  <cellStyles count="3">
    <cellStyle name="Comma" xfId="2" builtinId="3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64"/>
  <sheetViews>
    <sheetView tabSelected="1" topLeftCell="A140" zoomScale="79" workbookViewId="0">
      <selection activeCell="C2" sqref="C2:C164"/>
    </sheetView>
  </sheetViews>
  <sheetFormatPr defaultRowHeight="14"/>
  <cols>
    <col min="4" max="4" width="44.1640625" bestFit="1" customWidth="1"/>
    <col min="5" max="5" width="36.58203125" bestFit="1" customWidth="1"/>
    <col min="7" max="7" width="9.5" style="3" bestFit="1" customWidth="1"/>
    <col min="8" max="8" width="8.6640625" style="3"/>
  </cols>
  <sheetData>
    <row r="1" spans="1:8">
      <c r="A1" t="s">
        <v>0</v>
      </c>
      <c r="B1" t="s">
        <v>1</v>
      </c>
      <c r="C1" t="s">
        <v>2</v>
      </c>
      <c r="D1" t="s">
        <v>3</v>
      </c>
      <c r="E1" t="s">
        <v>4</v>
      </c>
      <c r="G1" s="1" t="s">
        <v>5</v>
      </c>
      <c r="H1" s="1" t="s">
        <v>6</v>
      </c>
    </row>
    <row r="2" spans="1:8">
      <c r="A2" t="s">
        <v>7</v>
      </c>
      <c r="C2" t="s">
        <v>455</v>
      </c>
      <c r="D2" t="s">
        <v>8</v>
      </c>
      <c r="E2" t="s">
        <v>9</v>
      </c>
      <c r="G2" s="3">
        <f>Sheet2!B8</f>
        <v>0.62069479999999999</v>
      </c>
      <c r="H2" s="3">
        <f>Sheet2!C8</f>
        <v>0.74275979999999997</v>
      </c>
    </row>
    <row r="3" spans="1:8">
      <c r="A3" t="s">
        <v>7</v>
      </c>
      <c r="C3" t="s">
        <v>455</v>
      </c>
      <c r="D3" t="s">
        <v>10</v>
      </c>
      <c r="E3" t="s">
        <v>9</v>
      </c>
      <c r="G3" s="3">
        <f>Sheet2!B9</f>
        <v>0.62747620000000004</v>
      </c>
      <c r="H3" s="3">
        <f>Sheet2!C9</f>
        <v>0.73149450000000005</v>
      </c>
    </row>
    <row r="4" spans="1:8">
      <c r="A4" t="s">
        <v>7</v>
      </c>
      <c r="C4" t="s">
        <v>455</v>
      </c>
      <c r="D4" t="s">
        <v>11</v>
      </c>
      <c r="E4" t="s">
        <v>9</v>
      </c>
      <c r="G4" s="3">
        <f>Sheet2!B10</f>
        <v>0.60049459999999999</v>
      </c>
      <c r="H4" s="3">
        <f>Sheet2!C10</f>
        <v>0.70903550000000004</v>
      </c>
    </row>
    <row r="5" spans="1:8">
      <c r="A5" t="s">
        <v>7</v>
      </c>
      <c r="C5" t="s">
        <v>455</v>
      </c>
      <c r="D5" t="s">
        <v>12</v>
      </c>
      <c r="E5" t="s">
        <v>9</v>
      </c>
      <c r="G5" s="3">
        <f>Sheet2!B11</f>
        <v>0.59170529999999999</v>
      </c>
      <c r="H5" s="3">
        <f>Sheet2!C11</f>
        <v>0.71301559999999997</v>
      </c>
    </row>
    <row r="6" spans="1:8">
      <c r="A6" t="s">
        <v>7</v>
      </c>
      <c r="C6" t="s">
        <v>455</v>
      </c>
      <c r="D6" t="s">
        <v>13</v>
      </c>
      <c r="E6" t="s">
        <v>9</v>
      </c>
      <c r="G6" s="3">
        <f>Sheet2!B12</f>
        <v>0.58955709999999995</v>
      </c>
      <c r="H6" s="3">
        <f>Sheet2!C12</f>
        <v>0.72099729999999995</v>
      </c>
    </row>
    <row r="7" spans="1:8">
      <c r="A7" t="s">
        <v>7</v>
      </c>
      <c r="C7" t="s">
        <v>455</v>
      </c>
      <c r="D7" t="s">
        <v>14</v>
      </c>
      <c r="E7" t="s">
        <v>9</v>
      </c>
      <c r="G7" s="3">
        <f>Sheet2!B13</f>
        <v>0.5721231</v>
      </c>
      <c r="H7" s="3">
        <f>Sheet2!C13</f>
        <v>0.71399020000000002</v>
      </c>
    </row>
    <row r="8" spans="1:8">
      <c r="A8" t="s">
        <v>7</v>
      </c>
      <c r="C8" t="s">
        <v>455</v>
      </c>
      <c r="D8" t="s">
        <v>15</v>
      </c>
      <c r="E8" t="s">
        <v>9</v>
      </c>
      <c r="G8" s="3">
        <f>Sheet2!B14</f>
        <v>0.57131639999999995</v>
      </c>
      <c r="H8" s="3">
        <f>Sheet2!C14</f>
        <v>0.73054209999999997</v>
      </c>
    </row>
    <row r="9" spans="1:8">
      <c r="A9" t="s">
        <v>7</v>
      </c>
      <c r="C9" t="s">
        <v>455</v>
      </c>
      <c r="D9" t="s">
        <v>16</v>
      </c>
      <c r="E9" t="s">
        <v>9</v>
      </c>
      <c r="G9" s="3">
        <f>Sheet2!B15</f>
        <v>0.56394860000000002</v>
      </c>
      <c r="H9" s="3">
        <f>Sheet2!C15</f>
        <v>0.74474019999999996</v>
      </c>
    </row>
    <row r="10" spans="1:8">
      <c r="A10" t="s">
        <v>7</v>
      </c>
      <c r="C10" t="s">
        <v>455</v>
      </c>
      <c r="D10" t="s">
        <v>17</v>
      </c>
      <c r="E10" t="s">
        <v>9</v>
      </c>
      <c r="G10" s="3">
        <f>Sheet2!B16</f>
        <v>0.55611900000000003</v>
      </c>
      <c r="H10" s="3">
        <f>Sheet2!C16</f>
        <v>0.73095580000000004</v>
      </c>
    </row>
    <row r="11" spans="1:8">
      <c r="A11" t="s">
        <v>7</v>
      </c>
      <c r="C11" t="s">
        <v>455</v>
      </c>
      <c r="D11" t="s">
        <v>18</v>
      </c>
      <c r="E11" t="s">
        <v>9</v>
      </c>
      <c r="G11" s="3">
        <f>Sheet2!B17</f>
        <v>0.5181019</v>
      </c>
      <c r="H11" s="3">
        <f>Sheet2!C17</f>
        <v>0.75361900000000004</v>
      </c>
    </row>
    <row r="12" spans="1:8">
      <c r="A12" t="s">
        <v>7</v>
      </c>
      <c r="C12" t="s">
        <v>455</v>
      </c>
      <c r="D12" t="s">
        <v>19</v>
      </c>
      <c r="E12" t="s">
        <v>9</v>
      </c>
      <c r="G12" s="3">
        <f>Sheet2!B44</f>
        <v>7.0907600000000001E-2</v>
      </c>
      <c r="H12" s="3">
        <f>Sheet2!C44</f>
        <v>1.5799500000000001E-2</v>
      </c>
    </row>
    <row r="13" spans="1:8">
      <c r="A13" t="s">
        <v>7</v>
      </c>
      <c r="C13" t="s">
        <v>455</v>
      </c>
      <c r="D13" t="s">
        <v>20</v>
      </c>
      <c r="E13" t="s">
        <v>9</v>
      </c>
      <c r="G13" s="3">
        <f>Sheet2!B45</f>
        <v>5.8073699999999999E-2</v>
      </c>
      <c r="H13" s="3">
        <f>Sheet2!C45</f>
        <v>2.0576400000000002E-2</v>
      </c>
    </row>
    <row r="14" spans="1:8">
      <c r="A14" t="s">
        <v>7</v>
      </c>
      <c r="C14" t="s">
        <v>455</v>
      </c>
      <c r="D14" t="s">
        <v>21</v>
      </c>
      <c r="E14" t="s">
        <v>9</v>
      </c>
      <c r="G14" s="3">
        <f>Sheet2!B46</f>
        <v>7.2192900000000004E-2</v>
      </c>
      <c r="H14" s="3">
        <f>Sheet2!C46</f>
        <v>1.81441E-2</v>
      </c>
    </row>
    <row r="15" spans="1:8">
      <c r="A15" t="s">
        <v>7</v>
      </c>
      <c r="C15" t="s">
        <v>455</v>
      </c>
      <c r="D15" t="s">
        <v>22</v>
      </c>
      <c r="E15" t="s">
        <v>9</v>
      </c>
      <c r="G15" s="3">
        <f>Sheet2!B47</f>
        <v>7.4015600000000001E-2</v>
      </c>
      <c r="H15" s="3">
        <f>Sheet2!C47</f>
        <v>1.7271399999999999E-2</v>
      </c>
    </row>
    <row r="16" spans="1:8">
      <c r="A16" t="s">
        <v>7</v>
      </c>
      <c r="C16" t="s">
        <v>455</v>
      </c>
      <c r="D16" t="s">
        <v>23</v>
      </c>
      <c r="E16" t="s">
        <v>9</v>
      </c>
      <c r="G16" s="3">
        <f>Sheet2!B48</f>
        <v>7.8971799999999995E-2</v>
      </c>
      <c r="H16" s="3">
        <f>Sheet2!C48</f>
        <v>1.4127499999999999E-2</v>
      </c>
    </row>
    <row r="17" spans="1:8">
      <c r="A17" t="s">
        <v>7</v>
      </c>
      <c r="C17" t="s">
        <v>455</v>
      </c>
      <c r="D17" t="s">
        <v>24</v>
      </c>
      <c r="E17" t="s">
        <v>9</v>
      </c>
      <c r="G17" s="3">
        <f>Sheet2!B49</f>
        <v>8.2855799999999993E-2</v>
      </c>
      <c r="H17" s="3">
        <f>Sheet2!C49</f>
        <v>1.53543E-2</v>
      </c>
    </row>
    <row r="18" spans="1:8">
      <c r="A18" t="s">
        <v>7</v>
      </c>
      <c r="C18" t="s">
        <v>455</v>
      </c>
      <c r="D18" t="s">
        <v>25</v>
      </c>
      <c r="E18" t="s">
        <v>9</v>
      </c>
      <c r="G18" s="3">
        <f>Sheet2!B50</f>
        <v>8.3327200000000004E-2</v>
      </c>
      <c r="H18" s="3">
        <f>Sheet2!C50</f>
        <v>1.4609199999999999E-2</v>
      </c>
    </row>
    <row r="19" spans="1:8">
      <c r="A19" t="s">
        <v>7</v>
      </c>
      <c r="C19" t="s">
        <v>455</v>
      </c>
      <c r="D19" t="s">
        <v>26</v>
      </c>
      <c r="E19" t="s">
        <v>9</v>
      </c>
      <c r="G19" s="3">
        <f>Sheet2!B51</f>
        <v>8.4000099999999994E-2</v>
      </c>
      <c r="H19" s="3">
        <f>Sheet2!C51</f>
        <v>1.43559E-2</v>
      </c>
    </row>
    <row r="20" spans="1:8">
      <c r="A20" t="s">
        <v>7</v>
      </c>
      <c r="C20" t="s">
        <v>455</v>
      </c>
      <c r="D20" t="s">
        <v>27</v>
      </c>
      <c r="E20" t="s">
        <v>9</v>
      </c>
      <c r="G20" s="3">
        <f>Sheet2!B52</f>
        <v>8.6105100000000004E-2</v>
      </c>
      <c r="H20" s="3">
        <f>Sheet2!C52</f>
        <v>1.7587599999999998E-2</v>
      </c>
    </row>
    <row r="21" spans="1:8">
      <c r="A21" t="s">
        <v>7</v>
      </c>
      <c r="C21" t="s">
        <v>455</v>
      </c>
      <c r="D21" t="s">
        <v>28</v>
      </c>
      <c r="E21" t="s">
        <v>9</v>
      </c>
      <c r="G21" s="3">
        <f>Sheet2!B53</f>
        <v>9.4074599999999994E-2</v>
      </c>
      <c r="H21" s="3">
        <f>Sheet2!C53</f>
        <v>2.7319099999999999E-2</v>
      </c>
    </row>
    <row r="22" spans="1:8">
      <c r="A22" t="s">
        <v>7</v>
      </c>
      <c r="C22" t="s">
        <v>455</v>
      </c>
      <c r="D22" t="s">
        <v>29</v>
      </c>
      <c r="E22" t="s">
        <v>9</v>
      </c>
      <c r="G22" s="3">
        <f>Sheet2!B26</f>
        <v>5.2426800000000003E-2</v>
      </c>
      <c r="H22" s="3">
        <f>Sheet2!C26</f>
        <v>2.9508E-2</v>
      </c>
    </row>
    <row r="23" spans="1:8">
      <c r="A23" t="s">
        <v>7</v>
      </c>
      <c r="C23" t="s">
        <v>455</v>
      </c>
      <c r="D23" t="s">
        <v>30</v>
      </c>
      <c r="E23" t="s">
        <v>9</v>
      </c>
      <c r="G23" s="3">
        <f>Sheet2!B27</f>
        <v>5.8694200000000002E-2</v>
      </c>
      <c r="H23" s="3">
        <f>Sheet2!C27</f>
        <v>3.8358000000000003E-2</v>
      </c>
    </row>
    <row r="24" spans="1:8">
      <c r="A24" t="s">
        <v>7</v>
      </c>
      <c r="C24" t="s">
        <v>455</v>
      </c>
      <c r="D24" t="s">
        <v>31</v>
      </c>
      <c r="E24" t="s">
        <v>9</v>
      </c>
      <c r="G24" s="3">
        <f>Sheet2!B28</f>
        <v>6.9558200000000001E-2</v>
      </c>
      <c r="H24" s="3">
        <f>Sheet2!C28</f>
        <v>5.0432900000000003E-2</v>
      </c>
    </row>
    <row r="25" spans="1:8">
      <c r="A25" t="s">
        <v>7</v>
      </c>
      <c r="C25" t="s">
        <v>455</v>
      </c>
      <c r="D25" t="s">
        <v>32</v>
      </c>
      <c r="E25" t="s">
        <v>9</v>
      </c>
      <c r="G25" s="3">
        <f>Sheet2!B29</f>
        <v>6.6596699999999995E-2</v>
      </c>
      <c r="H25" s="3">
        <f>Sheet2!C29</f>
        <v>5.91678E-2</v>
      </c>
    </row>
    <row r="26" spans="1:8">
      <c r="A26" t="s">
        <v>7</v>
      </c>
      <c r="C26" t="s">
        <v>455</v>
      </c>
      <c r="D26" t="s">
        <v>33</v>
      </c>
      <c r="E26" t="s">
        <v>9</v>
      </c>
      <c r="G26" s="3">
        <f>Sheet2!B30</f>
        <v>6.4505900000000005E-2</v>
      </c>
      <c r="H26" s="3">
        <f>Sheet2!C30</f>
        <v>5.3768499999999997E-2</v>
      </c>
    </row>
    <row r="27" spans="1:8">
      <c r="A27" t="s">
        <v>7</v>
      </c>
      <c r="C27" t="s">
        <v>455</v>
      </c>
      <c r="D27" t="s">
        <v>34</v>
      </c>
      <c r="E27" t="s">
        <v>9</v>
      </c>
      <c r="G27" s="3">
        <f>Sheet2!B31</f>
        <v>7.5128600000000004E-2</v>
      </c>
      <c r="H27" s="3">
        <f>Sheet2!C31</f>
        <v>6.3173099999999996E-2</v>
      </c>
    </row>
    <row r="28" spans="1:8">
      <c r="A28" t="s">
        <v>7</v>
      </c>
      <c r="C28" t="s">
        <v>455</v>
      </c>
      <c r="D28" t="s">
        <v>35</v>
      </c>
      <c r="E28" t="s">
        <v>9</v>
      </c>
      <c r="G28" s="3">
        <f>Sheet2!B32</f>
        <v>7.4972800000000006E-2</v>
      </c>
      <c r="H28" s="3">
        <f>Sheet2!C32</f>
        <v>5.41103E-2</v>
      </c>
    </row>
    <row r="29" spans="1:8">
      <c r="A29" t="s">
        <v>7</v>
      </c>
      <c r="C29" t="s">
        <v>455</v>
      </c>
      <c r="D29" t="s">
        <v>36</v>
      </c>
      <c r="E29" t="s">
        <v>9</v>
      </c>
      <c r="G29" s="3">
        <f>Sheet2!B33</f>
        <v>7.8107899999999994E-2</v>
      </c>
      <c r="H29" s="3">
        <f>Sheet2!C33</f>
        <v>5.4198999999999997E-2</v>
      </c>
    </row>
    <row r="30" spans="1:8">
      <c r="A30" t="s">
        <v>7</v>
      </c>
      <c r="C30" t="s">
        <v>455</v>
      </c>
      <c r="D30" t="s">
        <v>37</v>
      </c>
      <c r="E30" t="s">
        <v>9</v>
      </c>
      <c r="G30" s="3">
        <f>Sheet2!B34</f>
        <v>8.6648600000000006E-2</v>
      </c>
      <c r="H30" s="3">
        <f>Sheet2!C34</f>
        <v>6.7744899999999997E-2</v>
      </c>
    </row>
    <row r="31" spans="1:8">
      <c r="A31" t="s">
        <v>7</v>
      </c>
      <c r="C31" t="s">
        <v>455</v>
      </c>
      <c r="D31" t="s">
        <v>38</v>
      </c>
      <c r="E31" t="s">
        <v>9</v>
      </c>
      <c r="G31" s="3">
        <f>Sheet2!B35</f>
        <v>9.4566600000000001E-2</v>
      </c>
      <c r="H31" s="3">
        <f>Sheet2!C35</f>
        <v>5.09159E-2</v>
      </c>
    </row>
    <row r="32" spans="1:8">
      <c r="A32" t="s">
        <v>7</v>
      </c>
      <c r="C32" t="s">
        <v>455</v>
      </c>
      <c r="D32" t="s">
        <v>39</v>
      </c>
      <c r="E32" t="s">
        <v>9</v>
      </c>
    </row>
    <row r="33" spans="1:8">
      <c r="A33" t="s">
        <v>7</v>
      </c>
      <c r="C33" t="s">
        <v>455</v>
      </c>
      <c r="D33" t="s">
        <v>40</v>
      </c>
      <c r="E33" t="s">
        <v>9</v>
      </c>
    </row>
    <row r="34" spans="1:8">
      <c r="A34" t="s">
        <v>7</v>
      </c>
      <c r="C34" t="s">
        <v>455</v>
      </c>
      <c r="D34" t="s">
        <v>41</v>
      </c>
      <c r="E34" t="s">
        <v>9</v>
      </c>
    </row>
    <row r="35" spans="1:8">
      <c r="A35" t="s">
        <v>7</v>
      </c>
      <c r="C35" t="s">
        <v>455</v>
      </c>
      <c r="D35" t="s">
        <v>42</v>
      </c>
      <c r="E35" t="s">
        <v>9</v>
      </c>
    </row>
    <row r="36" spans="1:8">
      <c r="A36" t="s">
        <v>7</v>
      </c>
      <c r="C36" t="s">
        <v>455</v>
      </c>
      <c r="D36" t="s">
        <v>43</v>
      </c>
      <c r="E36" t="s">
        <v>9</v>
      </c>
    </row>
    <row r="37" spans="1:8">
      <c r="A37" t="s">
        <v>7</v>
      </c>
      <c r="C37" t="s">
        <v>455</v>
      </c>
      <c r="D37" t="s">
        <v>44</v>
      </c>
      <c r="E37" t="s">
        <v>9</v>
      </c>
    </row>
    <row r="38" spans="1:8">
      <c r="A38" t="s">
        <v>7</v>
      </c>
      <c r="C38" t="s">
        <v>455</v>
      </c>
      <c r="D38" t="s">
        <v>45</v>
      </c>
      <c r="E38" t="s">
        <v>9</v>
      </c>
    </row>
    <row r="39" spans="1:8">
      <c r="A39" t="s">
        <v>7</v>
      </c>
      <c r="C39" t="s">
        <v>455</v>
      </c>
      <c r="D39" t="s">
        <v>46</v>
      </c>
      <c r="E39" t="s">
        <v>9</v>
      </c>
    </row>
    <row r="40" spans="1:8">
      <c r="A40" t="s">
        <v>7</v>
      </c>
      <c r="C40" t="s">
        <v>455</v>
      </c>
      <c r="D40" t="s">
        <v>47</v>
      </c>
      <c r="E40" t="s">
        <v>9</v>
      </c>
    </row>
    <row r="41" spans="1:8">
      <c r="A41" t="s">
        <v>7</v>
      </c>
      <c r="C41" t="s">
        <v>455</v>
      </c>
      <c r="D41" t="s">
        <v>48</v>
      </c>
      <c r="E41" t="s">
        <v>9</v>
      </c>
    </row>
    <row r="42" spans="1:8">
      <c r="A42" t="s">
        <v>7</v>
      </c>
      <c r="C42" t="s">
        <v>455</v>
      </c>
      <c r="D42" t="s">
        <v>49</v>
      </c>
      <c r="E42" t="s">
        <v>9</v>
      </c>
      <c r="G42" s="3">
        <f>Sheet2!B117</f>
        <v>0.65184039999999999</v>
      </c>
      <c r="H42" s="3">
        <f>Sheet2!C117</f>
        <v>0.88111870000000003</v>
      </c>
    </row>
    <row r="43" spans="1:8">
      <c r="A43" t="s">
        <v>7</v>
      </c>
      <c r="C43" t="s">
        <v>455</v>
      </c>
      <c r="D43" t="s">
        <v>50</v>
      </c>
      <c r="E43" t="s">
        <v>9</v>
      </c>
      <c r="G43" s="3">
        <f>Sheet2!B118</f>
        <v>0.86946950000000001</v>
      </c>
      <c r="H43" s="3">
        <f>Sheet2!C118</f>
        <v>0.914049</v>
      </c>
    </row>
    <row r="44" spans="1:8">
      <c r="A44" t="s">
        <v>7</v>
      </c>
      <c r="C44" t="s">
        <v>455</v>
      </c>
      <c r="D44" t="s">
        <v>51</v>
      </c>
      <c r="E44" t="s">
        <v>9</v>
      </c>
      <c r="G44" s="3">
        <f>Sheet2!B119</f>
        <v>0.90663389999999999</v>
      </c>
      <c r="H44" s="3">
        <f>Sheet2!C119</f>
        <v>0.92078360000000004</v>
      </c>
    </row>
    <row r="45" spans="1:8">
      <c r="A45" t="s">
        <v>7</v>
      </c>
      <c r="C45" t="s">
        <v>455</v>
      </c>
      <c r="D45" t="s">
        <v>52</v>
      </c>
      <c r="E45" t="s">
        <v>9</v>
      </c>
      <c r="G45" s="3">
        <f>Sheet2!B120</f>
        <v>0.88180709999999995</v>
      </c>
      <c r="H45" s="3">
        <f>Sheet2!C120</f>
        <v>0.91193100000000005</v>
      </c>
    </row>
    <row r="46" spans="1:8">
      <c r="A46" t="s">
        <v>7</v>
      </c>
      <c r="C46" t="s">
        <v>455</v>
      </c>
      <c r="D46" t="s">
        <v>53</v>
      </c>
      <c r="E46" t="s">
        <v>9</v>
      </c>
      <c r="G46" s="3">
        <f>Sheet2!B121</f>
        <v>0.90508750000000004</v>
      </c>
      <c r="H46" s="3">
        <f>Sheet2!C121</f>
        <v>0.92133770000000004</v>
      </c>
    </row>
    <row r="47" spans="1:8">
      <c r="A47" t="s">
        <v>7</v>
      </c>
      <c r="C47" t="s">
        <v>455</v>
      </c>
      <c r="D47" t="s">
        <v>54</v>
      </c>
      <c r="E47" t="s">
        <v>9</v>
      </c>
      <c r="G47" s="3">
        <f>Sheet2!B122</f>
        <v>0.88505710000000004</v>
      </c>
      <c r="H47" s="3">
        <f>Sheet2!C122</f>
        <v>0.90595409999999998</v>
      </c>
    </row>
    <row r="48" spans="1:8">
      <c r="A48" t="s">
        <v>7</v>
      </c>
      <c r="C48" t="s">
        <v>455</v>
      </c>
      <c r="D48" t="s">
        <v>55</v>
      </c>
      <c r="E48" t="s">
        <v>9</v>
      </c>
      <c r="G48" s="3">
        <f>Sheet2!B123</f>
        <v>0.90656040000000004</v>
      </c>
      <c r="H48" s="3">
        <f>Sheet2!C123</f>
        <v>0.89440629999999999</v>
      </c>
    </row>
    <row r="49" spans="1:8">
      <c r="A49" t="s">
        <v>7</v>
      </c>
      <c r="C49" t="s">
        <v>455</v>
      </c>
      <c r="D49" t="s">
        <v>56</v>
      </c>
      <c r="E49" t="s">
        <v>9</v>
      </c>
      <c r="G49" s="3">
        <f>Sheet2!B124</f>
        <v>0.91103829999999997</v>
      </c>
      <c r="H49" s="3">
        <f>Sheet2!C124</f>
        <v>0.90828209999999998</v>
      </c>
    </row>
    <row r="50" spans="1:8">
      <c r="A50" t="s">
        <v>7</v>
      </c>
      <c r="C50" t="s">
        <v>455</v>
      </c>
      <c r="D50" t="s">
        <v>57</v>
      </c>
      <c r="E50" t="s">
        <v>9</v>
      </c>
      <c r="G50" s="3">
        <f>Sheet2!B125</f>
        <v>0.87542719999999996</v>
      </c>
      <c r="H50" s="3">
        <f>Sheet2!C125</f>
        <v>0.91876429999999998</v>
      </c>
    </row>
    <row r="51" spans="1:8">
      <c r="A51" t="s">
        <v>7</v>
      </c>
      <c r="C51" t="s">
        <v>455</v>
      </c>
      <c r="D51" t="s">
        <v>58</v>
      </c>
      <c r="E51" t="s">
        <v>9</v>
      </c>
      <c r="G51" s="3">
        <f>Sheet2!B126</f>
        <v>0.81233960000000005</v>
      </c>
      <c r="H51" s="3">
        <f>Sheet2!C126</f>
        <v>0.91720860000000004</v>
      </c>
    </row>
    <row r="52" spans="1:8">
      <c r="A52" t="s">
        <v>7</v>
      </c>
      <c r="C52" t="s">
        <v>455</v>
      </c>
      <c r="D52" t="s">
        <v>59</v>
      </c>
      <c r="E52" t="s">
        <v>9</v>
      </c>
      <c r="G52" s="3">
        <f>Sheet2!B135</f>
        <v>0</v>
      </c>
      <c r="H52" s="3">
        <f>Sheet2!C135</f>
        <v>1.0116999999999999E-3</v>
      </c>
    </row>
    <row r="53" spans="1:8">
      <c r="A53" t="s">
        <v>7</v>
      </c>
      <c r="C53" t="s">
        <v>455</v>
      </c>
      <c r="D53" t="s">
        <v>60</v>
      </c>
      <c r="E53" t="s">
        <v>9</v>
      </c>
      <c r="G53" s="3">
        <f>Sheet2!B136</f>
        <v>5.3428E-3</v>
      </c>
      <c r="H53" s="3">
        <f>Sheet2!C136</f>
        <v>4.3419999999999998E-4</v>
      </c>
    </row>
    <row r="54" spans="1:8">
      <c r="A54" t="s">
        <v>7</v>
      </c>
      <c r="C54" t="s">
        <v>455</v>
      </c>
      <c r="D54" t="s">
        <v>61</v>
      </c>
      <c r="E54" t="s">
        <v>9</v>
      </c>
      <c r="G54" s="3">
        <f>Sheet2!B137</f>
        <v>2.0362000000000002E-3</v>
      </c>
      <c r="H54" s="3">
        <f>Sheet2!C137</f>
        <v>6.4340000000000003E-4</v>
      </c>
    </row>
    <row r="55" spans="1:8">
      <c r="A55" t="s">
        <v>7</v>
      </c>
      <c r="C55" t="s">
        <v>455</v>
      </c>
      <c r="D55" t="s">
        <v>62</v>
      </c>
      <c r="E55" t="s">
        <v>9</v>
      </c>
      <c r="G55" s="3">
        <f>Sheet2!B138</f>
        <v>5.0870000000000004E-3</v>
      </c>
      <c r="H55" s="3">
        <f>Sheet2!C138</f>
        <v>5.1152000000000003E-3</v>
      </c>
    </row>
    <row r="56" spans="1:8">
      <c r="A56" t="s">
        <v>7</v>
      </c>
      <c r="C56" t="s">
        <v>455</v>
      </c>
      <c r="D56" t="s">
        <v>63</v>
      </c>
      <c r="E56" t="s">
        <v>9</v>
      </c>
      <c r="G56" s="3">
        <f>Sheet2!B139</f>
        <v>7.2347000000000002E-3</v>
      </c>
      <c r="H56" s="3">
        <f>Sheet2!C139</f>
        <v>1.8514E-3</v>
      </c>
    </row>
    <row r="57" spans="1:8">
      <c r="A57" t="s">
        <v>7</v>
      </c>
      <c r="C57" t="s">
        <v>455</v>
      </c>
      <c r="D57" t="s">
        <v>64</v>
      </c>
      <c r="E57" t="s">
        <v>9</v>
      </c>
      <c r="G57" s="3">
        <f>Sheet2!B140</f>
        <v>1.14146E-2</v>
      </c>
      <c r="H57" s="3">
        <f>Sheet2!C140</f>
        <v>3.6879E-3</v>
      </c>
    </row>
    <row r="58" spans="1:8">
      <c r="A58" t="s">
        <v>7</v>
      </c>
      <c r="C58" t="s">
        <v>455</v>
      </c>
      <c r="D58" t="s">
        <v>65</v>
      </c>
      <c r="E58" t="s">
        <v>9</v>
      </c>
      <c r="G58" s="3">
        <f>Sheet2!B141</f>
        <v>1.4323900000000001E-2</v>
      </c>
      <c r="H58" s="3">
        <f>Sheet2!C141</f>
        <v>1.18104E-2</v>
      </c>
    </row>
    <row r="59" spans="1:8">
      <c r="A59" t="s">
        <v>7</v>
      </c>
      <c r="C59" t="s">
        <v>455</v>
      </c>
      <c r="D59" t="s">
        <v>66</v>
      </c>
      <c r="E59" t="s">
        <v>9</v>
      </c>
      <c r="G59" s="3">
        <f>Sheet2!B142</f>
        <v>1.27574E-2</v>
      </c>
      <c r="H59" s="3">
        <f>Sheet2!C142</f>
        <v>1.38002E-2</v>
      </c>
    </row>
    <row r="60" spans="1:8">
      <c r="A60" t="s">
        <v>7</v>
      </c>
      <c r="C60" t="s">
        <v>455</v>
      </c>
      <c r="D60" t="s">
        <v>67</v>
      </c>
      <c r="E60" t="s">
        <v>9</v>
      </c>
      <c r="G60" s="3">
        <f>Sheet2!B143</f>
        <v>1.85191E-2</v>
      </c>
      <c r="H60" s="3">
        <f>Sheet2!C143</f>
        <v>1.13373E-2</v>
      </c>
    </row>
    <row r="61" spans="1:8">
      <c r="A61" t="s">
        <v>7</v>
      </c>
      <c r="C61" t="s">
        <v>455</v>
      </c>
      <c r="D61" t="s">
        <v>68</v>
      </c>
      <c r="E61" t="s">
        <v>9</v>
      </c>
      <c r="G61" s="3">
        <f>Sheet2!B144</f>
        <v>4.11785E-2</v>
      </c>
      <c r="H61" s="3">
        <f>Sheet2!C144</f>
        <v>9.0031999999999994E-3</v>
      </c>
    </row>
    <row r="62" spans="1:8">
      <c r="A62" t="s">
        <v>7</v>
      </c>
      <c r="C62" t="s">
        <v>455</v>
      </c>
      <c r="D62" t="s">
        <v>69</v>
      </c>
      <c r="E62" t="s">
        <v>9</v>
      </c>
      <c r="G62" s="3">
        <f>Sheet2!B99</f>
        <v>0.34815960000000001</v>
      </c>
      <c r="H62" s="3">
        <f>Sheet2!C99</f>
        <v>0.1178696</v>
      </c>
    </row>
    <row r="63" spans="1:8">
      <c r="A63" t="s">
        <v>7</v>
      </c>
      <c r="C63" t="s">
        <v>455</v>
      </c>
      <c r="D63" t="s">
        <v>70</v>
      </c>
      <c r="E63" t="s">
        <v>9</v>
      </c>
      <c r="G63" s="3">
        <f>Sheet2!B100</f>
        <v>0.12518760000000001</v>
      </c>
      <c r="H63" s="3">
        <f>Sheet2!C100</f>
        <v>8.5516700000000001E-2</v>
      </c>
    </row>
    <row r="64" spans="1:8">
      <c r="A64" t="s">
        <v>7</v>
      </c>
      <c r="C64" t="s">
        <v>455</v>
      </c>
      <c r="D64" t="s">
        <v>71</v>
      </c>
      <c r="E64" t="s">
        <v>9</v>
      </c>
      <c r="G64" s="3">
        <f>Sheet2!B101</f>
        <v>9.1329900000000006E-2</v>
      </c>
      <c r="H64" s="3">
        <f>Sheet2!C101</f>
        <v>7.8573000000000004E-2</v>
      </c>
    </row>
    <row r="65" spans="1:8">
      <c r="A65" t="s">
        <v>7</v>
      </c>
      <c r="C65" t="s">
        <v>455</v>
      </c>
      <c r="D65" t="s">
        <v>72</v>
      </c>
      <c r="E65" t="s">
        <v>9</v>
      </c>
      <c r="G65" s="3">
        <f>Sheet2!B102</f>
        <v>0.1131059</v>
      </c>
      <c r="H65" s="3">
        <f>Sheet2!C102</f>
        <v>8.2953799999999994E-2</v>
      </c>
    </row>
    <row r="66" spans="1:8">
      <c r="A66" t="s">
        <v>7</v>
      </c>
      <c r="C66" t="s">
        <v>455</v>
      </c>
      <c r="D66" t="s">
        <v>73</v>
      </c>
      <c r="E66" t="s">
        <v>9</v>
      </c>
      <c r="G66" s="3">
        <f>Sheet2!B103</f>
        <v>8.76778E-2</v>
      </c>
      <c r="H66" s="3">
        <f>Sheet2!C103</f>
        <v>7.6810900000000001E-2</v>
      </c>
    </row>
    <row r="67" spans="1:8">
      <c r="A67" t="s">
        <v>7</v>
      </c>
      <c r="C67" t="s">
        <v>455</v>
      </c>
      <c r="D67" t="s">
        <v>74</v>
      </c>
      <c r="E67" t="s">
        <v>9</v>
      </c>
      <c r="G67" s="3">
        <f>Sheet2!B104</f>
        <v>0.1035283</v>
      </c>
      <c r="H67" s="3">
        <f>Sheet2!C104</f>
        <v>9.0357999999999994E-2</v>
      </c>
    </row>
    <row r="68" spans="1:8">
      <c r="A68" t="s">
        <v>7</v>
      </c>
      <c r="C68" t="s">
        <v>455</v>
      </c>
      <c r="D68" t="s">
        <v>75</v>
      </c>
      <c r="E68" t="s">
        <v>9</v>
      </c>
      <c r="G68" s="3">
        <f>Sheet2!B105</f>
        <v>7.9115699999999997E-2</v>
      </c>
      <c r="H68" s="3">
        <f>Sheet2!C105</f>
        <v>9.37833E-2</v>
      </c>
    </row>
    <row r="69" spans="1:8">
      <c r="A69" t="s">
        <v>7</v>
      </c>
      <c r="C69" t="s">
        <v>455</v>
      </c>
      <c r="D69" t="s">
        <v>76</v>
      </c>
      <c r="E69" t="s">
        <v>9</v>
      </c>
      <c r="G69" s="3">
        <f>Sheet2!B106</f>
        <v>7.6204300000000003E-2</v>
      </c>
      <c r="H69" s="3">
        <f>Sheet2!C106</f>
        <v>7.7917700000000006E-2</v>
      </c>
    </row>
    <row r="70" spans="1:8">
      <c r="A70" t="s">
        <v>7</v>
      </c>
      <c r="C70" t="s">
        <v>455</v>
      </c>
      <c r="D70" t="s">
        <v>77</v>
      </c>
      <c r="E70" t="s">
        <v>9</v>
      </c>
      <c r="G70" s="3">
        <f>Sheet2!B107</f>
        <v>0.1060537</v>
      </c>
      <c r="H70" s="3">
        <f>Sheet2!C107</f>
        <v>6.9898399999999999E-2</v>
      </c>
    </row>
    <row r="71" spans="1:8">
      <c r="A71" t="s">
        <v>7</v>
      </c>
      <c r="C71" t="s">
        <v>455</v>
      </c>
      <c r="D71" t="s">
        <v>78</v>
      </c>
      <c r="E71" t="s">
        <v>9</v>
      </c>
      <c r="G71" s="3">
        <f>Sheet2!B108</f>
        <v>0.1464819</v>
      </c>
      <c r="H71" s="3">
        <f>Sheet2!C108</f>
        <v>7.3788199999999998E-2</v>
      </c>
    </row>
    <row r="72" spans="1:8">
      <c r="A72" t="s">
        <v>7</v>
      </c>
      <c r="C72" t="s">
        <v>455</v>
      </c>
      <c r="D72" t="s">
        <v>79</v>
      </c>
      <c r="E72" t="s">
        <v>9</v>
      </c>
      <c r="G72" s="3">
        <f>1-(G62+G52+G42)</f>
        <v>0</v>
      </c>
      <c r="H72" s="3">
        <f>1-(H62+H52+H42)</f>
        <v>0</v>
      </c>
    </row>
    <row r="73" spans="1:8">
      <c r="A73" t="s">
        <v>7</v>
      </c>
      <c r="C73" t="s">
        <v>455</v>
      </c>
      <c r="D73" t="s">
        <v>80</v>
      </c>
      <c r="E73" t="s">
        <v>9</v>
      </c>
      <c r="G73" s="3">
        <f t="shared" ref="G73:H73" si="0">1-(G63+G53+G43)</f>
        <v>9.9999999947364415E-8</v>
      </c>
      <c r="H73" s="3">
        <f t="shared" si="0"/>
        <v>1.0000000005838672E-7</v>
      </c>
    </row>
    <row r="74" spans="1:8">
      <c r="A74" t="s">
        <v>7</v>
      </c>
      <c r="C74" t="s">
        <v>455</v>
      </c>
      <c r="D74" t="s">
        <v>81</v>
      </c>
      <c r="E74" t="s">
        <v>9</v>
      </c>
      <c r="G74" s="3">
        <f t="shared" ref="G74:H74" si="1">1-(G64+G54+G44)</f>
        <v>0</v>
      </c>
      <c r="H74" s="3">
        <f t="shared" si="1"/>
        <v>0</v>
      </c>
    </row>
    <row r="75" spans="1:8">
      <c r="A75" t="s">
        <v>7</v>
      </c>
      <c r="C75" t="s">
        <v>455</v>
      </c>
      <c r="D75" t="s">
        <v>82</v>
      </c>
      <c r="E75" t="s">
        <v>9</v>
      </c>
      <c r="G75" s="3">
        <f t="shared" ref="G75:H75" si="2">1-(G65+G55+G45)</f>
        <v>0</v>
      </c>
      <c r="H75" s="3">
        <f t="shared" si="2"/>
        <v>0</v>
      </c>
    </row>
    <row r="76" spans="1:8">
      <c r="A76" t="s">
        <v>7</v>
      </c>
      <c r="C76" t="s">
        <v>455</v>
      </c>
      <c r="D76" t="s">
        <v>83</v>
      </c>
      <c r="E76" t="s">
        <v>9</v>
      </c>
      <c r="G76" s="3">
        <f t="shared" ref="G76:H76" si="3">1-(G66+G56+G46)</f>
        <v>0</v>
      </c>
      <c r="H76" s="3">
        <f t="shared" si="3"/>
        <v>0</v>
      </c>
    </row>
    <row r="77" spans="1:8">
      <c r="A77" t="s">
        <v>7</v>
      </c>
      <c r="C77" t="s">
        <v>455</v>
      </c>
      <c r="D77" t="s">
        <v>84</v>
      </c>
      <c r="E77" t="s">
        <v>9</v>
      </c>
      <c r="G77" s="3">
        <f t="shared" ref="G77:H77" si="4">1-(G67+G57+G47)</f>
        <v>0</v>
      </c>
      <c r="H77" s="3">
        <f t="shared" si="4"/>
        <v>0</v>
      </c>
    </row>
    <row r="78" spans="1:8">
      <c r="A78" t="s">
        <v>7</v>
      </c>
      <c r="C78" t="s">
        <v>455</v>
      </c>
      <c r="D78" t="s">
        <v>85</v>
      </c>
      <c r="E78" t="s">
        <v>9</v>
      </c>
      <c r="G78" s="3">
        <f t="shared" ref="G78:H78" si="5">1-(G68+G58+G48)</f>
        <v>0</v>
      </c>
      <c r="H78" s="3">
        <f t="shared" si="5"/>
        <v>0</v>
      </c>
    </row>
    <row r="79" spans="1:8">
      <c r="A79" t="s">
        <v>7</v>
      </c>
      <c r="C79" t="s">
        <v>455</v>
      </c>
      <c r="D79" t="s">
        <v>86</v>
      </c>
      <c r="E79" t="s">
        <v>9</v>
      </c>
      <c r="G79" s="3">
        <f t="shared" ref="G79:H79" si="6">1-(G69+G59+G49)</f>
        <v>0</v>
      </c>
      <c r="H79" s="3">
        <f t="shared" si="6"/>
        <v>0</v>
      </c>
    </row>
    <row r="80" spans="1:8">
      <c r="A80" t="s">
        <v>7</v>
      </c>
      <c r="C80" t="s">
        <v>455</v>
      </c>
      <c r="D80" t="s">
        <v>87</v>
      </c>
      <c r="E80" t="s">
        <v>9</v>
      </c>
      <c r="G80" s="3">
        <f t="shared" ref="G80:H80" si="7">1-(G70+G60+G50)</f>
        <v>0</v>
      </c>
      <c r="H80" s="3">
        <f t="shared" si="7"/>
        <v>0</v>
      </c>
    </row>
    <row r="81" spans="1:8">
      <c r="A81" t="s">
        <v>7</v>
      </c>
      <c r="C81" t="s">
        <v>455</v>
      </c>
      <c r="D81" t="s">
        <v>88</v>
      </c>
      <c r="E81" t="s">
        <v>9</v>
      </c>
      <c r="G81" s="3">
        <f t="shared" ref="G81:H81" si="8">1-(G71+G61+G51)</f>
        <v>0</v>
      </c>
      <c r="H81" s="3">
        <f t="shared" si="8"/>
        <v>0</v>
      </c>
    </row>
    <row r="82" spans="1:8">
      <c r="A82" t="s">
        <v>7</v>
      </c>
      <c r="C82" t="s">
        <v>455</v>
      </c>
      <c r="D82" t="s">
        <v>89</v>
      </c>
      <c r="E82" t="s">
        <v>9</v>
      </c>
      <c r="G82" s="4">
        <f>Sheet2!B154</f>
        <v>-52.817689999999999</v>
      </c>
      <c r="H82" s="4">
        <f>Sheet2!C154</f>
        <v>-5.4128780000000001</v>
      </c>
    </row>
    <row r="83" spans="1:8">
      <c r="A83" t="s">
        <v>7</v>
      </c>
      <c r="C83" t="s">
        <v>455</v>
      </c>
      <c r="D83" t="s">
        <v>90</v>
      </c>
      <c r="E83" t="s">
        <v>9</v>
      </c>
      <c r="G83" s="4">
        <f>Sheet2!B155</f>
        <v>-1.251458</v>
      </c>
      <c r="H83" s="4">
        <f>Sheet2!C155</f>
        <v>-0.72949799999999998</v>
      </c>
    </row>
    <row r="84" spans="1:8">
      <c r="A84" t="s">
        <v>7</v>
      </c>
      <c r="C84" t="s">
        <v>455</v>
      </c>
      <c r="D84" t="s">
        <v>91</v>
      </c>
      <c r="E84" t="s">
        <v>9</v>
      </c>
      <c r="G84" s="4">
        <f>Sheet2!B156</f>
        <v>-0.93073689999999998</v>
      </c>
      <c r="H84" s="4">
        <f>Sheet2!C156</f>
        <v>-0.22867299999999999</v>
      </c>
    </row>
    <row r="85" spans="1:8">
      <c r="A85" t="s">
        <v>7</v>
      </c>
      <c r="C85" t="s">
        <v>455</v>
      </c>
      <c r="D85" t="s">
        <v>92</v>
      </c>
      <c r="E85" t="s">
        <v>9</v>
      </c>
      <c r="G85" s="4">
        <f>Sheet2!B157</f>
        <v>-0.78119400000000006</v>
      </c>
      <c r="H85" s="4">
        <f>Sheet2!C157</f>
        <v>-8.3699200000000001E-2</v>
      </c>
    </row>
    <row r="86" spans="1:8">
      <c r="A86" t="s">
        <v>7</v>
      </c>
      <c r="C86" t="s">
        <v>455</v>
      </c>
      <c r="D86" t="s">
        <v>93</v>
      </c>
      <c r="E86" t="s">
        <v>9</v>
      </c>
      <c r="G86" s="4">
        <f>Sheet2!B158</f>
        <v>-0.50056630000000002</v>
      </c>
      <c r="H86" s="4">
        <f>Sheet2!C158</f>
        <v>1.4277400000000001E-2</v>
      </c>
    </row>
    <row r="87" spans="1:8">
      <c r="A87" t="s">
        <v>7</v>
      </c>
      <c r="C87" t="s">
        <v>455</v>
      </c>
      <c r="D87" t="s">
        <v>94</v>
      </c>
      <c r="E87" t="s">
        <v>9</v>
      </c>
      <c r="G87" s="4">
        <f>Sheet2!B159</f>
        <v>-0.4966564</v>
      </c>
      <c r="H87" s="4">
        <f>Sheet2!C159</f>
        <v>0.1580704</v>
      </c>
    </row>
    <row r="88" spans="1:8">
      <c r="A88" t="s">
        <v>7</v>
      </c>
      <c r="C88" t="s">
        <v>455</v>
      </c>
      <c r="D88" t="s">
        <v>95</v>
      </c>
      <c r="E88" t="s">
        <v>9</v>
      </c>
      <c r="G88" s="4">
        <f>Sheet2!B160</f>
        <v>-0.25267899999999999</v>
      </c>
      <c r="H88" s="4">
        <f>Sheet2!C160</f>
        <v>0.2120522</v>
      </c>
    </row>
    <row r="89" spans="1:8">
      <c r="A89" t="s">
        <v>7</v>
      </c>
      <c r="C89" t="s">
        <v>455</v>
      </c>
      <c r="D89" t="s">
        <v>96</v>
      </c>
      <c r="E89" t="s">
        <v>9</v>
      </c>
      <c r="G89" s="4">
        <f>Sheet2!B161</f>
        <v>-0.2183117</v>
      </c>
      <c r="H89" s="4">
        <f>Sheet2!C161</f>
        <v>0.26304339999999998</v>
      </c>
    </row>
    <row r="90" spans="1:8">
      <c r="A90" t="s">
        <v>7</v>
      </c>
      <c r="C90" t="s">
        <v>455</v>
      </c>
      <c r="D90" t="s">
        <v>97</v>
      </c>
      <c r="E90" t="s">
        <v>9</v>
      </c>
      <c r="G90" s="4">
        <f>Sheet2!B162</f>
        <v>-0.1421713</v>
      </c>
      <c r="H90" s="4">
        <f>Sheet2!C162</f>
        <v>0.3213511</v>
      </c>
    </row>
    <row r="91" spans="1:8">
      <c r="A91" t="s">
        <v>7</v>
      </c>
      <c r="C91" t="s">
        <v>455</v>
      </c>
      <c r="D91" t="s">
        <v>98</v>
      </c>
      <c r="E91" t="s">
        <v>9</v>
      </c>
      <c r="G91" s="4">
        <f>Sheet2!B163</f>
        <v>-5.4568999999999998E-3</v>
      </c>
      <c r="H91" s="4">
        <f>Sheet2!C163</f>
        <v>0.32962930000000001</v>
      </c>
    </row>
    <row r="92" spans="1:8">
      <c r="A92" t="s">
        <v>7</v>
      </c>
      <c r="C92" t="s">
        <v>455</v>
      </c>
      <c r="D92" t="s">
        <v>99</v>
      </c>
      <c r="E92" t="s">
        <v>9</v>
      </c>
      <c r="G92" s="3">
        <f>Sheet2!B191</f>
        <v>0.30135010000000001</v>
      </c>
      <c r="H92" s="3">
        <f>Sheet2!C191</f>
        <v>0.4186243</v>
      </c>
    </row>
    <row r="93" spans="1:8">
      <c r="A93" t="s">
        <v>7</v>
      </c>
      <c r="C93" t="s">
        <v>455</v>
      </c>
      <c r="D93" t="s">
        <v>100</v>
      </c>
      <c r="E93" t="s">
        <v>9</v>
      </c>
      <c r="G93" s="3">
        <f>Sheet2!B192</f>
        <v>0.33984900000000001</v>
      </c>
      <c r="H93" s="3">
        <f>Sheet2!C192</f>
        <v>0.41610439999999999</v>
      </c>
    </row>
    <row r="94" spans="1:8">
      <c r="A94" t="s">
        <v>7</v>
      </c>
      <c r="C94" t="s">
        <v>455</v>
      </c>
      <c r="D94" t="s">
        <v>101</v>
      </c>
      <c r="E94" t="s">
        <v>9</v>
      </c>
      <c r="G94" s="3">
        <f>Sheet2!B193</f>
        <v>0.3284784</v>
      </c>
      <c r="H94" s="3">
        <f>Sheet2!C193</f>
        <v>0.42165849999999999</v>
      </c>
    </row>
    <row r="95" spans="1:8">
      <c r="A95" t="s">
        <v>7</v>
      </c>
      <c r="C95" t="s">
        <v>455</v>
      </c>
      <c r="D95" t="s">
        <v>102</v>
      </c>
      <c r="E95" t="s">
        <v>9</v>
      </c>
      <c r="G95" s="3">
        <f>Sheet2!B194</f>
        <v>0.3003421</v>
      </c>
      <c r="H95" s="3">
        <f>Sheet2!C194</f>
        <v>0.40924919999999998</v>
      </c>
    </row>
    <row r="96" spans="1:8">
      <c r="A96" t="s">
        <v>7</v>
      </c>
      <c r="C96" t="s">
        <v>455</v>
      </c>
      <c r="D96" t="s">
        <v>103</v>
      </c>
      <c r="E96" t="s">
        <v>9</v>
      </c>
      <c r="G96" s="3">
        <f>Sheet2!B195</f>
        <v>0.32085029999999998</v>
      </c>
      <c r="H96" s="3">
        <f>Sheet2!C195</f>
        <v>0.44111020000000001</v>
      </c>
    </row>
    <row r="97" spans="1:8">
      <c r="A97" t="s">
        <v>7</v>
      </c>
      <c r="C97" t="s">
        <v>455</v>
      </c>
      <c r="D97" t="s">
        <v>104</v>
      </c>
      <c r="E97" t="s">
        <v>9</v>
      </c>
      <c r="G97" s="3">
        <f>Sheet2!B196</f>
        <v>0.2911878</v>
      </c>
      <c r="H97" s="3">
        <f>Sheet2!C196</f>
        <v>0.42273139999999998</v>
      </c>
    </row>
    <row r="98" spans="1:8">
      <c r="A98" t="s">
        <v>7</v>
      </c>
      <c r="C98" t="s">
        <v>455</v>
      </c>
      <c r="D98" t="s">
        <v>105</v>
      </c>
      <c r="E98" t="s">
        <v>9</v>
      </c>
      <c r="G98" s="3">
        <f>Sheet2!B197</f>
        <v>0.29575449999999998</v>
      </c>
      <c r="H98" s="3">
        <f>Sheet2!C197</f>
        <v>0.43884220000000002</v>
      </c>
    </row>
    <row r="99" spans="1:8">
      <c r="A99" t="s">
        <v>7</v>
      </c>
      <c r="C99" t="s">
        <v>455</v>
      </c>
      <c r="D99" t="s">
        <v>106</v>
      </c>
      <c r="E99" t="s">
        <v>9</v>
      </c>
      <c r="G99" s="3">
        <f>Sheet2!B198</f>
        <v>0.27926299999999998</v>
      </c>
      <c r="H99" s="3">
        <f>Sheet2!C198</f>
        <v>0.43963989999999997</v>
      </c>
    </row>
    <row r="100" spans="1:8">
      <c r="A100" t="s">
        <v>7</v>
      </c>
      <c r="C100" t="s">
        <v>455</v>
      </c>
      <c r="D100" t="s">
        <v>107</v>
      </c>
      <c r="E100" t="s">
        <v>9</v>
      </c>
      <c r="G100" s="3">
        <f>Sheet2!B199</f>
        <v>0.2780164</v>
      </c>
      <c r="H100" s="3">
        <f>Sheet2!C199</f>
        <v>0.42781209999999997</v>
      </c>
    </row>
    <row r="101" spans="1:8">
      <c r="A101" t="s">
        <v>7</v>
      </c>
      <c r="C101" t="s">
        <v>455</v>
      </c>
      <c r="D101" t="s">
        <v>108</v>
      </c>
      <c r="E101" t="s">
        <v>9</v>
      </c>
      <c r="G101" s="3">
        <f>Sheet2!B200</f>
        <v>0.2220065</v>
      </c>
      <c r="H101" s="3">
        <f>Sheet2!C200</f>
        <v>0.48328900000000002</v>
      </c>
    </row>
    <row r="102" spans="1:8">
      <c r="A102" t="s">
        <v>7</v>
      </c>
      <c r="C102" t="s">
        <v>455</v>
      </c>
      <c r="D102" t="s">
        <v>109</v>
      </c>
      <c r="E102" t="s">
        <v>9</v>
      </c>
      <c r="G102" s="3">
        <f>Sheet2!B209</f>
        <v>8.5734099999999994E-2</v>
      </c>
      <c r="H102" s="3">
        <f>Sheet2!C209</f>
        <v>3.9750500000000001E-2</v>
      </c>
    </row>
    <row r="103" spans="1:8">
      <c r="A103" t="s">
        <v>7</v>
      </c>
      <c r="C103" t="s">
        <v>455</v>
      </c>
      <c r="D103" t="s">
        <v>110</v>
      </c>
      <c r="E103" t="s">
        <v>9</v>
      </c>
      <c r="G103" s="3">
        <f>Sheet2!B210</f>
        <v>7.4548799999999998E-2</v>
      </c>
      <c r="H103" s="3">
        <f>Sheet2!C210</f>
        <v>3.8275400000000001E-2</v>
      </c>
    </row>
    <row r="104" spans="1:8">
      <c r="A104" t="s">
        <v>7</v>
      </c>
      <c r="C104" t="s">
        <v>455</v>
      </c>
      <c r="D104" t="s">
        <v>111</v>
      </c>
      <c r="E104" t="s">
        <v>9</v>
      </c>
      <c r="G104" s="3">
        <f>Sheet2!B211</f>
        <v>8.1086099999999994E-2</v>
      </c>
      <c r="H104" s="3">
        <f>Sheet2!C211</f>
        <v>4.6767499999999997E-2</v>
      </c>
    </row>
    <row r="105" spans="1:8">
      <c r="A105" t="s">
        <v>7</v>
      </c>
      <c r="C105" t="s">
        <v>455</v>
      </c>
      <c r="D105" t="s">
        <v>112</v>
      </c>
      <c r="E105" t="s">
        <v>9</v>
      </c>
      <c r="G105" s="3">
        <f>Sheet2!B212</f>
        <v>9.9987699999999999E-2</v>
      </c>
      <c r="H105" s="3">
        <f>Sheet2!C212</f>
        <v>3.2807500000000003E-2</v>
      </c>
    </row>
    <row r="106" spans="1:8">
      <c r="A106" t="s">
        <v>7</v>
      </c>
      <c r="C106" t="s">
        <v>455</v>
      </c>
      <c r="D106" t="s">
        <v>113</v>
      </c>
      <c r="E106" t="s">
        <v>9</v>
      </c>
      <c r="G106" s="3">
        <f>Sheet2!B213</f>
        <v>0.10439089999999999</v>
      </c>
      <c r="H106" s="3">
        <f>Sheet2!C213</f>
        <v>4.5955099999999999E-2</v>
      </c>
    </row>
    <row r="107" spans="1:8">
      <c r="A107" t="s">
        <v>7</v>
      </c>
      <c r="C107" t="s">
        <v>455</v>
      </c>
      <c r="D107" t="s">
        <v>114</v>
      </c>
      <c r="E107" t="s">
        <v>9</v>
      </c>
      <c r="G107" s="3">
        <f>Sheet2!B214</f>
        <v>9.6109399999999998E-2</v>
      </c>
      <c r="H107" s="3">
        <f>Sheet2!C214</f>
        <v>5.3290299999999999E-2</v>
      </c>
    </row>
    <row r="108" spans="1:8">
      <c r="A108" t="s">
        <v>7</v>
      </c>
      <c r="C108" t="s">
        <v>455</v>
      </c>
      <c r="D108" t="s">
        <v>115</v>
      </c>
      <c r="E108" t="s">
        <v>9</v>
      </c>
      <c r="G108" s="3">
        <f>Sheet2!B215</f>
        <v>0.11823160000000001</v>
      </c>
      <c r="H108" s="3">
        <f>Sheet2!C215</f>
        <v>4.0266099999999999E-2</v>
      </c>
    </row>
    <row r="109" spans="1:8">
      <c r="A109" t="s">
        <v>7</v>
      </c>
      <c r="C109" t="s">
        <v>455</v>
      </c>
      <c r="D109" t="s">
        <v>116</v>
      </c>
      <c r="E109" t="s">
        <v>9</v>
      </c>
      <c r="G109" s="3">
        <f>Sheet2!B216</f>
        <v>0.11855300000000001</v>
      </c>
      <c r="H109" s="3">
        <f>Sheet2!C216</f>
        <v>4.2890699999999997E-2</v>
      </c>
    </row>
    <row r="110" spans="1:8">
      <c r="A110" t="s">
        <v>7</v>
      </c>
      <c r="C110" t="s">
        <v>455</v>
      </c>
      <c r="D110" t="s">
        <v>117</v>
      </c>
      <c r="E110" t="s">
        <v>9</v>
      </c>
      <c r="G110" s="3">
        <f>Sheet2!B217</f>
        <v>0.1124047</v>
      </c>
      <c r="H110" s="3">
        <f>Sheet2!C217</f>
        <v>4.2410799999999998E-2</v>
      </c>
    </row>
    <row r="111" spans="1:8">
      <c r="A111" t="s">
        <v>7</v>
      </c>
      <c r="C111" t="s">
        <v>455</v>
      </c>
      <c r="D111" t="s">
        <v>118</v>
      </c>
      <c r="E111" t="s">
        <v>9</v>
      </c>
      <c r="G111" s="3">
        <f>Sheet2!B218</f>
        <v>0.1025693</v>
      </c>
      <c r="H111" s="3">
        <f>Sheet2!C218</f>
        <v>4.6064099999999997E-2</v>
      </c>
    </row>
    <row r="112" spans="1:8">
      <c r="A112" t="s">
        <v>7</v>
      </c>
      <c r="C112" t="s">
        <v>455</v>
      </c>
      <c r="D112" t="s">
        <v>119</v>
      </c>
      <c r="E112" t="s">
        <v>9</v>
      </c>
      <c r="G112" s="3">
        <f>Sheet2!B227</f>
        <v>0.1177353</v>
      </c>
      <c r="H112" s="3">
        <f>Sheet2!C227</f>
        <v>2.3752800000000001E-2</v>
      </c>
    </row>
    <row r="113" spans="1:8">
      <c r="A113" t="s">
        <v>7</v>
      </c>
      <c r="C113" t="s">
        <v>455</v>
      </c>
      <c r="D113" t="s">
        <v>120</v>
      </c>
      <c r="E113" t="s">
        <v>9</v>
      </c>
      <c r="G113" s="3">
        <f>Sheet2!B228</f>
        <v>7.5724200000000005E-2</v>
      </c>
      <c r="H113" s="3">
        <f>Sheet2!C228</f>
        <v>1.36454E-2</v>
      </c>
    </row>
    <row r="114" spans="1:8">
      <c r="A114" t="s">
        <v>7</v>
      </c>
      <c r="C114" t="s">
        <v>455</v>
      </c>
      <c r="D114" t="s">
        <v>121</v>
      </c>
      <c r="E114" t="s">
        <v>9</v>
      </c>
      <c r="G114" s="3">
        <f>Sheet2!B229</f>
        <v>8.6546399999999996E-2</v>
      </c>
      <c r="H114" s="3">
        <f>Sheet2!C229</f>
        <v>1.4671699999999999E-2</v>
      </c>
    </row>
    <row r="115" spans="1:8">
      <c r="A115" t="s">
        <v>7</v>
      </c>
      <c r="C115" t="s">
        <v>455</v>
      </c>
      <c r="D115" t="s">
        <v>122</v>
      </c>
      <c r="E115" t="s">
        <v>9</v>
      </c>
      <c r="G115" s="3">
        <f>Sheet2!B230</f>
        <v>0.10155450000000001</v>
      </c>
      <c r="H115" s="3">
        <f>Sheet2!C230</f>
        <v>1.2086E-2</v>
      </c>
    </row>
    <row r="116" spans="1:8">
      <c r="A116" t="s">
        <v>7</v>
      </c>
      <c r="C116" t="s">
        <v>455</v>
      </c>
      <c r="D116" t="s">
        <v>123</v>
      </c>
      <c r="E116" t="s">
        <v>9</v>
      </c>
      <c r="G116" s="3">
        <f>Sheet2!B231</f>
        <v>0.1054495</v>
      </c>
      <c r="H116" s="3">
        <f>Sheet2!C231</f>
        <v>1.06614E-2</v>
      </c>
    </row>
    <row r="117" spans="1:8">
      <c r="A117" t="s">
        <v>7</v>
      </c>
      <c r="C117" t="s">
        <v>455</v>
      </c>
      <c r="D117" t="s">
        <v>124</v>
      </c>
      <c r="E117" t="s">
        <v>9</v>
      </c>
      <c r="G117" s="3">
        <f>Sheet2!B232</f>
        <v>0.1039524</v>
      </c>
      <c r="H117" s="3">
        <f>Sheet2!C232</f>
        <v>1.56373E-2</v>
      </c>
    </row>
    <row r="118" spans="1:8">
      <c r="A118" t="s">
        <v>7</v>
      </c>
      <c r="C118" t="s">
        <v>455</v>
      </c>
      <c r="D118" t="s">
        <v>125</v>
      </c>
      <c r="E118" t="s">
        <v>9</v>
      </c>
      <c r="G118" s="3">
        <f>Sheet2!B233</f>
        <v>0.1107659</v>
      </c>
      <c r="H118" s="3">
        <f>Sheet2!C233</f>
        <v>8.0365999999999996E-3</v>
      </c>
    </row>
    <row r="119" spans="1:8">
      <c r="A119" t="s">
        <v>7</v>
      </c>
      <c r="C119" t="s">
        <v>455</v>
      </c>
      <c r="D119" t="s">
        <v>126</v>
      </c>
      <c r="E119" t="s">
        <v>9</v>
      </c>
      <c r="G119" s="3">
        <f>Sheet2!B234</f>
        <v>0.1206641</v>
      </c>
      <c r="H119" s="3">
        <f>Sheet2!C234</f>
        <v>1.3777299999999999E-2</v>
      </c>
    </row>
    <row r="120" spans="1:8">
      <c r="A120" t="s">
        <v>7</v>
      </c>
      <c r="C120" t="s">
        <v>455</v>
      </c>
      <c r="D120" t="s">
        <v>127</v>
      </c>
      <c r="E120" t="s">
        <v>9</v>
      </c>
      <c r="G120" s="3">
        <f>Sheet2!B235</f>
        <v>0.14309150000000001</v>
      </c>
      <c r="H120" s="3">
        <f>Sheet2!C235</f>
        <v>2.3614E-2</v>
      </c>
    </row>
    <row r="121" spans="1:8">
      <c r="A121" t="s">
        <v>7</v>
      </c>
      <c r="C121" t="s">
        <v>455</v>
      </c>
      <c r="D121" t="s">
        <v>128</v>
      </c>
      <c r="E121" t="s">
        <v>9</v>
      </c>
      <c r="G121" s="3">
        <f>Sheet2!B236</f>
        <v>0.19894110000000001</v>
      </c>
      <c r="H121" s="3">
        <f>Sheet2!C236</f>
        <v>4.6488700000000001E-2</v>
      </c>
    </row>
    <row r="122" spans="1:8">
      <c r="A122" t="s">
        <v>7</v>
      </c>
      <c r="C122" t="s">
        <v>455</v>
      </c>
      <c r="D122" t="s">
        <v>129</v>
      </c>
      <c r="E122" t="s">
        <v>9</v>
      </c>
      <c r="G122" s="3">
        <f>Sheet2!B245</f>
        <v>7.3413999999999997E-3</v>
      </c>
      <c r="H122" s="3">
        <f>Sheet2!C245</f>
        <v>0</v>
      </c>
    </row>
    <row r="123" spans="1:8">
      <c r="A123" t="s">
        <v>7</v>
      </c>
      <c r="C123" t="s">
        <v>455</v>
      </c>
      <c r="D123" t="s">
        <v>130</v>
      </c>
      <c r="E123" t="s">
        <v>9</v>
      </c>
      <c r="G123" s="3">
        <f>Sheet2!B246</f>
        <v>1.6364999999999999E-3</v>
      </c>
      <c r="H123" s="3">
        <f>Sheet2!C246</f>
        <v>2.4570000000000001E-4</v>
      </c>
    </row>
    <row r="124" spans="1:8">
      <c r="A124" t="s">
        <v>7</v>
      </c>
      <c r="C124" t="s">
        <v>455</v>
      </c>
      <c r="D124" t="s">
        <v>131</v>
      </c>
      <c r="E124" t="s">
        <v>9</v>
      </c>
      <c r="G124" s="3">
        <f>Sheet2!B247</f>
        <v>8.4527999999999999E-3</v>
      </c>
      <c r="H124" s="3">
        <f>Sheet2!C247</f>
        <v>2.441E-4</v>
      </c>
    </row>
    <row r="125" spans="1:8">
      <c r="A125" t="s">
        <v>7</v>
      </c>
      <c r="C125" t="s">
        <v>455</v>
      </c>
      <c r="D125" t="s">
        <v>132</v>
      </c>
      <c r="E125" t="s">
        <v>9</v>
      </c>
      <c r="G125" s="3">
        <f>Sheet2!B248</f>
        <v>4.7365999999999997E-3</v>
      </c>
      <c r="H125" s="3">
        <f>Sheet2!C248</f>
        <v>2.5369999999999999E-4</v>
      </c>
    </row>
    <row r="126" spans="1:8">
      <c r="A126" t="s">
        <v>7</v>
      </c>
      <c r="C126" t="s">
        <v>455</v>
      </c>
      <c r="D126" t="s">
        <v>133</v>
      </c>
      <c r="E126" t="s">
        <v>9</v>
      </c>
      <c r="G126" s="3">
        <f>Sheet2!B249</f>
        <v>6.6236000000000003E-3</v>
      </c>
      <c r="H126" s="3">
        <f>Sheet2!C249</f>
        <v>0</v>
      </c>
    </row>
    <row r="127" spans="1:8">
      <c r="A127" t="s">
        <v>7</v>
      </c>
      <c r="C127" t="s">
        <v>455</v>
      </c>
      <c r="D127" t="s">
        <v>134</v>
      </c>
      <c r="E127" t="s">
        <v>9</v>
      </c>
      <c r="G127" s="3">
        <f>Sheet2!B250</f>
        <v>1.0165199999999999E-2</v>
      </c>
      <c r="H127" s="3">
        <f>Sheet2!C250</f>
        <v>7.5210000000000001E-4</v>
      </c>
    </row>
    <row r="128" spans="1:8">
      <c r="A128" t="s">
        <v>7</v>
      </c>
      <c r="C128" t="s">
        <v>455</v>
      </c>
      <c r="D128" t="s">
        <v>135</v>
      </c>
      <c r="E128" t="s">
        <v>9</v>
      </c>
      <c r="G128" s="3">
        <f>Sheet2!B251</f>
        <v>1.1465100000000001E-2</v>
      </c>
      <c r="H128" s="3">
        <f>Sheet2!C251</f>
        <v>2.5549999999999998E-4</v>
      </c>
    </row>
    <row r="129" spans="1:8">
      <c r="A129" t="s">
        <v>7</v>
      </c>
      <c r="C129" t="s">
        <v>455</v>
      </c>
      <c r="D129" t="s">
        <v>136</v>
      </c>
      <c r="E129" t="s">
        <v>9</v>
      </c>
      <c r="G129" s="3">
        <f>Sheet2!B252</f>
        <v>2.1244300000000001E-2</v>
      </c>
      <c r="H129" s="3">
        <f>Sheet2!C252</f>
        <v>8.5349999999999998E-4</v>
      </c>
    </row>
    <row r="130" spans="1:8">
      <c r="A130" t="s">
        <v>7</v>
      </c>
      <c r="C130" t="s">
        <v>455</v>
      </c>
      <c r="D130" t="s">
        <v>137</v>
      </c>
      <c r="E130" t="s">
        <v>9</v>
      </c>
      <c r="G130" s="3">
        <f>Sheet2!B253</f>
        <v>3.1799599999999997E-2</v>
      </c>
      <c r="H130" s="3">
        <f>Sheet2!C253</f>
        <v>3.3723E-3</v>
      </c>
    </row>
    <row r="131" spans="1:8">
      <c r="A131" t="s">
        <v>7</v>
      </c>
      <c r="C131" t="s">
        <v>455</v>
      </c>
      <c r="D131" t="s">
        <v>138</v>
      </c>
      <c r="E131" t="s">
        <v>9</v>
      </c>
      <c r="G131" s="3">
        <f>Sheet2!B254</f>
        <v>0.1093775</v>
      </c>
      <c r="H131" s="3">
        <f>Sheet2!C254</f>
        <v>4.8015000000000002E-3</v>
      </c>
    </row>
    <row r="132" spans="1:8">
      <c r="A132" t="s">
        <v>7</v>
      </c>
      <c r="C132" t="s">
        <v>455</v>
      </c>
      <c r="D132" t="s">
        <v>139</v>
      </c>
      <c r="E132" t="s">
        <v>140</v>
      </c>
      <c r="G132" s="6">
        <f>Sheet2!B303</f>
        <v>0.43478</v>
      </c>
      <c r="H132" s="6">
        <f>Sheet2!C303</f>
        <v>0.36775999999999998</v>
      </c>
    </row>
    <row r="133" spans="1:8">
      <c r="A133" t="s">
        <v>7</v>
      </c>
      <c r="C133" t="s">
        <v>455</v>
      </c>
      <c r="D133" t="s">
        <v>141</v>
      </c>
      <c r="E133" t="s">
        <v>9</v>
      </c>
      <c r="G133" s="6">
        <f>Sheet2!B263</f>
        <v>0.102159</v>
      </c>
      <c r="H133" s="6">
        <f>Sheet2!C263</f>
        <v>0.17003499999999999</v>
      </c>
    </row>
    <row r="134" spans="1:8">
      <c r="A134" t="s">
        <v>7</v>
      </c>
      <c r="C134" t="s">
        <v>455</v>
      </c>
      <c r="D134" t="s">
        <v>142</v>
      </c>
      <c r="E134" t="s">
        <v>143</v>
      </c>
      <c r="G134" s="6">
        <f>Sheet2!B329</f>
        <v>9.3390140533447301</v>
      </c>
      <c r="H134" s="6">
        <f>Sheet2!C329</f>
        <v>14.0464544296265</v>
      </c>
    </row>
    <row r="135" spans="1:8">
      <c r="A135" t="s">
        <v>7</v>
      </c>
      <c r="C135" t="s">
        <v>455</v>
      </c>
      <c r="D135" t="s">
        <v>144</v>
      </c>
      <c r="E135" t="s">
        <v>143</v>
      </c>
      <c r="G135" s="6">
        <f>Sheet2!B330</f>
        <v>10.062803268432599</v>
      </c>
      <c r="H135" s="6">
        <f>Sheet2!C330</f>
        <v>12.158810615539601</v>
      </c>
    </row>
    <row r="136" spans="1:8">
      <c r="A136" t="s">
        <v>7</v>
      </c>
      <c r="C136" t="s">
        <v>455</v>
      </c>
      <c r="D136" t="s">
        <v>145</v>
      </c>
      <c r="E136" t="s">
        <v>143</v>
      </c>
      <c r="G136" s="6">
        <f>Sheet2!B331</f>
        <v>9.5477943420410192</v>
      </c>
      <c r="H136" s="6">
        <f>Sheet2!C331</f>
        <v>11.130861282348601</v>
      </c>
    </row>
    <row r="137" spans="1:8">
      <c r="A137" t="s">
        <v>7</v>
      </c>
      <c r="C137" t="s">
        <v>455</v>
      </c>
      <c r="D137" t="s">
        <v>146</v>
      </c>
      <c r="E137" t="s">
        <v>143</v>
      </c>
      <c r="G137" s="6">
        <f>Sheet2!B332</f>
        <v>9.7193126678466797</v>
      </c>
      <c r="H137" s="6">
        <f>Sheet2!C332</f>
        <v>12.047427177429199</v>
      </c>
    </row>
    <row r="138" spans="1:8">
      <c r="A138" t="s">
        <v>7</v>
      </c>
      <c r="C138" t="s">
        <v>455</v>
      </c>
      <c r="D138" t="s">
        <v>147</v>
      </c>
      <c r="E138" t="s">
        <v>143</v>
      </c>
      <c r="G138" s="6">
        <f>Sheet2!B333</f>
        <v>9.8873767852783203</v>
      </c>
      <c r="H138" s="6">
        <f>Sheet2!C333</f>
        <v>11.6339359283447</v>
      </c>
    </row>
    <row r="139" spans="1:8">
      <c r="A139" t="s">
        <v>7</v>
      </c>
      <c r="C139" t="s">
        <v>455</v>
      </c>
      <c r="D139" t="s">
        <v>148</v>
      </c>
      <c r="E139" t="s">
        <v>143</v>
      </c>
      <c r="G139" s="6">
        <f>Sheet2!B334</f>
        <v>9.9531011581420898</v>
      </c>
      <c r="H139" s="6">
        <f>Sheet2!C334</f>
        <v>12.0401210784912</v>
      </c>
    </row>
    <row r="140" spans="1:8">
      <c r="A140" t="s">
        <v>7</v>
      </c>
      <c r="C140" t="s">
        <v>455</v>
      </c>
      <c r="D140" t="s">
        <v>149</v>
      </c>
      <c r="E140" t="s">
        <v>143</v>
      </c>
      <c r="G140" s="6">
        <f>Sheet2!B335</f>
        <v>9.7399559020996094</v>
      </c>
      <c r="H140" s="6">
        <f>Sheet2!C335</f>
        <v>11.9469995498657</v>
      </c>
    </row>
    <row r="141" spans="1:8">
      <c r="A141" t="s">
        <v>7</v>
      </c>
      <c r="C141" t="s">
        <v>455</v>
      </c>
      <c r="D141" t="s">
        <v>150</v>
      </c>
      <c r="E141" t="s">
        <v>143</v>
      </c>
      <c r="G141" s="6">
        <f>Sheet2!B336</f>
        <v>9.3335037231445295</v>
      </c>
      <c r="H141" s="6">
        <f>Sheet2!C336</f>
        <v>9.9172468185424805</v>
      </c>
    </row>
    <row r="142" spans="1:8">
      <c r="A142" t="s">
        <v>7</v>
      </c>
      <c r="C142" t="s">
        <v>455</v>
      </c>
      <c r="D142" t="s">
        <v>151</v>
      </c>
      <c r="E142" t="s">
        <v>143</v>
      </c>
      <c r="G142" s="6">
        <f>Sheet2!B337</f>
        <v>8.4782581329345703</v>
      </c>
      <c r="H142" s="6">
        <f>Sheet2!C337</f>
        <v>10.5500192642212</v>
      </c>
    </row>
    <row r="143" spans="1:8">
      <c r="A143" t="s">
        <v>7</v>
      </c>
      <c r="C143" t="s">
        <v>455</v>
      </c>
      <c r="D143" t="s">
        <v>152</v>
      </c>
      <c r="E143" t="s">
        <v>143</v>
      </c>
      <c r="G143" s="6">
        <f>Sheet2!B338</f>
        <v>7.3237643241882298</v>
      </c>
      <c r="H143" s="6">
        <f>Sheet2!C338</f>
        <v>7.9869923591613796</v>
      </c>
    </row>
    <row r="144" spans="1:8">
      <c r="A144" t="s">
        <v>7</v>
      </c>
      <c r="C144" t="s">
        <v>455</v>
      </c>
      <c r="D144" t="s">
        <v>153</v>
      </c>
      <c r="E144" t="s">
        <v>154</v>
      </c>
      <c r="G144" s="3">
        <f>Sheet2!B347/SUM(Sheet2!B$348:B$356)</f>
        <v>9.1771760572105246E-2</v>
      </c>
      <c r="H144" s="3">
        <f>Sheet2!C347/SUM(Sheet2!C$348:C$356)</f>
        <v>7.8969968614513011E-2</v>
      </c>
    </row>
    <row r="145" spans="1:8">
      <c r="A145" t="s">
        <v>7</v>
      </c>
      <c r="C145" t="s">
        <v>455</v>
      </c>
      <c r="D145" t="s">
        <v>155</v>
      </c>
      <c r="E145" t="s">
        <v>154</v>
      </c>
      <c r="G145" s="3">
        <f>Sheet2!B348/SUM(Sheet2!B$348:B$356)</f>
        <v>6.726920057921823E-2</v>
      </c>
      <c r="H145" s="3">
        <f>Sheet2!C348/SUM(Sheet2!C$348:C$356)</f>
        <v>8.2442233529758699E-2</v>
      </c>
    </row>
    <row r="146" spans="1:8">
      <c r="A146" t="s">
        <v>7</v>
      </c>
      <c r="C146" t="s">
        <v>455</v>
      </c>
      <c r="D146" t="s">
        <v>156</v>
      </c>
      <c r="E146" t="s">
        <v>154</v>
      </c>
      <c r="G146" s="3">
        <f>Sheet2!B349/SUM(Sheet2!B$348:B$356)</f>
        <v>7.3530864242571423E-2</v>
      </c>
      <c r="H146" s="3">
        <f>Sheet2!C349/SUM(Sheet2!C$348:C$356)</f>
        <v>7.7053145509590762E-2</v>
      </c>
    </row>
    <row r="147" spans="1:8">
      <c r="A147" t="s">
        <v>7</v>
      </c>
      <c r="C147" t="s">
        <v>455</v>
      </c>
      <c r="D147" t="s">
        <v>157</v>
      </c>
      <c r="E147" t="s">
        <v>154</v>
      </c>
      <c r="G147" s="3">
        <f>Sheet2!B350/SUM(Sheet2!B$348:B$356)</f>
        <v>8.3429544596034938E-2</v>
      </c>
      <c r="H147" s="3">
        <f>Sheet2!C350/SUM(Sheet2!C$348:C$356)</f>
        <v>7.9834973340382795E-2</v>
      </c>
    </row>
    <row r="148" spans="1:8">
      <c r="A148" t="s">
        <v>7</v>
      </c>
      <c r="C148" t="s">
        <v>455</v>
      </c>
      <c r="D148" t="s">
        <v>158</v>
      </c>
      <c r="E148" t="s">
        <v>154</v>
      </c>
      <c r="G148" s="3">
        <f>Sheet2!B351/SUM(Sheet2!B$348:B$356)</f>
        <v>8.4400900526238651E-2</v>
      </c>
      <c r="H148" s="3">
        <f>Sheet2!C351/SUM(Sheet2!C$348:C$356)</f>
        <v>9.0082356660184382E-2</v>
      </c>
    </row>
    <row r="149" spans="1:8">
      <c r="A149" t="s">
        <v>7</v>
      </c>
      <c r="C149" t="s">
        <v>455</v>
      </c>
      <c r="D149" t="s">
        <v>159</v>
      </c>
      <c r="E149" t="s">
        <v>154</v>
      </c>
      <c r="G149" s="3">
        <f>Sheet2!B352/SUM(Sheet2!B$348:B$356)</f>
        <v>9.7348546957152143E-2</v>
      </c>
      <c r="H149" s="3">
        <f>Sheet2!C352/SUM(Sheet2!C$348:C$356)</f>
        <v>8.9275557674451625E-2</v>
      </c>
    </row>
    <row r="150" spans="1:8">
      <c r="A150" t="s">
        <v>7</v>
      </c>
      <c r="C150" t="s">
        <v>455</v>
      </c>
      <c r="D150" t="s">
        <v>160</v>
      </c>
      <c r="E150" t="s">
        <v>154</v>
      </c>
      <c r="G150" s="3">
        <f>Sheet2!B353/SUM(Sheet2!B$348:B$356)</f>
        <v>9.5387446562551853E-2</v>
      </c>
      <c r="H150" s="3">
        <f>Sheet2!C353/SUM(Sheet2!C$348:C$356)</f>
        <v>9.8013905123255363E-2</v>
      </c>
    </row>
    <row r="151" spans="1:8">
      <c r="A151" t="s">
        <v>7</v>
      </c>
      <c r="C151" t="s">
        <v>455</v>
      </c>
      <c r="D151" t="s">
        <v>161</v>
      </c>
      <c r="E151" t="s">
        <v>154</v>
      </c>
      <c r="G151" s="3">
        <f>Sheet2!B354/SUM(Sheet2!B$348:B$356)</f>
        <v>0.11152128166847615</v>
      </c>
      <c r="H151" s="3">
        <f>Sheet2!C354/SUM(Sheet2!C$348:C$356)</f>
        <v>0.11072957870943101</v>
      </c>
    </row>
    <row r="152" spans="1:8">
      <c r="A152" t="s">
        <v>7</v>
      </c>
      <c r="C152" t="s">
        <v>455</v>
      </c>
      <c r="D152" t="s">
        <v>162</v>
      </c>
      <c r="E152" t="s">
        <v>154</v>
      </c>
      <c r="G152" s="3">
        <f>Sheet2!B355/SUM(Sheet2!B$348:B$356)</f>
        <v>0.13453996050613601</v>
      </c>
      <c r="H152" s="3">
        <f>Sheet2!C355/SUM(Sheet2!C$348:C$356)</f>
        <v>0.1282170818279498</v>
      </c>
    </row>
    <row r="153" spans="1:8">
      <c r="A153" t="s">
        <v>7</v>
      </c>
      <c r="C153" t="s">
        <v>455</v>
      </c>
      <c r="D153" t="s">
        <v>163</v>
      </c>
      <c r="E153" t="s">
        <v>154</v>
      </c>
      <c r="G153" s="3">
        <f>Sheet2!B356/SUM(Sheet2!B$348:B$356)</f>
        <v>0.25257225436162056</v>
      </c>
      <c r="H153" s="3">
        <f>Sheet2!C356/SUM(Sheet2!C$348:C$356)</f>
        <v>0.24435116762499559</v>
      </c>
    </row>
    <row r="154" spans="1:8">
      <c r="A154" t="s">
        <v>7</v>
      </c>
      <c r="C154" t="s">
        <v>455</v>
      </c>
      <c r="D154" t="s">
        <v>164</v>
      </c>
      <c r="E154" t="s">
        <v>165</v>
      </c>
      <c r="G154" s="3">
        <f>Sheet2!B365/SUM(Sheet2!B$365:B$374)</f>
        <v>1.6201661674990327E-2</v>
      </c>
      <c r="H154" s="3">
        <f>Sheet2!C365/SUM(Sheet2!C$365:C$374)</f>
        <v>2.1072965398811139E-2</v>
      </c>
    </row>
    <row r="155" spans="1:8">
      <c r="A155" t="s">
        <v>7</v>
      </c>
      <c r="C155" t="s">
        <v>455</v>
      </c>
      <c r="D155" t="s">
        <v>166</v>
      </c>
      <c r="E155" t="s">
        <v>165</v>
      </c>
      <c r="G155" s="3">
        <f>Sheet2!B366/SUM(Sheet2!B$365:B$374)</f>
        <v>3.8148530579095855E-2</v>
      </c>
      <c r="H155" s="3">
        <f>Sheet2!C366/SUM(Sheet2!C$365:C$374)</f>
        <v>3.9431865304131349E-2</v>
      </c>
    </row>
    <row r="156" spans="1:8">
      <c r="A156" t="s">
        <v>7</v>
      </c>
      <c r="C156" t="s">
        <v>455</v>
      </c>
      <c r="D156" t="s">
        <v>167</v>
      </c>
      <c r="E156" t="s">
        <v>165</v>
      </c>
      <c r="G156" s="3">
        <f>Sheet2!B367/SUM(Sheet2!B$365:B$374)</f>
        <v>4.880092870839757E-2</v>
      </c>
      <c r="H156" s="3">
        <f>Sheet2!C367/SUM(Sheet2!C$365:C$374)</f>
        <v>5.1246217636056308E-2</v>
      </c>
    </row>
    <row r="157" spans="1:8">
      <c r="A157" t="s">
        <v>7</v>
      </c>
      <c r="C157" t="s">
        <v>455</v>
      </c>
      <c r="D157" t="s">
        <v>168</v>
      </c>
      <c r="E157" t="s">
        <v>165</v>
      </c>
      <c r="G157" s="3">
        <f>Sheet2!B368/SUM(Sheet2!B$365:B$374)</f>
        <v>5.9350831700791855E-2</v>
      </c>
      <c r="H157" s="3">
        <f>Sheet2!C368/SUM(Sheet2!C$365:C$374)</f>
        <v>6.0067716271000646E-2</v>
      </c>
    </row>
    <row r="158" spans="1:8">
      <c r="A158" t="s">
        <v>7</v>
      </c>
      <c r="C158" t="s">
        <v>455</v>
      </c>
      <c r="D158" t="s">
        <v>169</v>
      </c>
      <c r="E158" t="s">
        <v>165</v>
      </c>
      <c r="G158" s="3">
        <f>Sheet2!B369/SUM(Sheet2!B$365:B$374)</f>
        <v>7.1155038378983362E-2</v>
      </c>
      <c r="H158" s="3">
        <f>Sheet2!C369/SUM(Sheet2!C$365:C$374)</f>
        <v>7.4440151962033449E-2</v>
      </c>
    </row>
    <row r="159" spans="1:8">
      <c r="A159" t="s">
        <v>7</v>
      </c>
      <c r="C159" t="s">
        <v>455</v>
      </c>
      <c r="D159" t="s">
        <v>170</v>
      </c>
      <c r="E159" t="s">
        <v>165</v>
      </c>
      <c r="G159" s="3">
        <f>Sheet2!B370/SUM(Sheet2!B$365:B$374)</f>
        <v>8.28775069879788E-2</v>
      </c>
      <c r="H159" s="3">
        <f>Sheet2!C370/SUM(Sheet2!C$365:C$374)</f>
        <v>8.6120630024160524E-2</v>
      </c>
    </row>
    <row r="160" spans="1:8">
      <c r="A160" t="s">
        <v>7</v>
      </c>
      <c r="C160" t="s">
        <v>455</v>
      </c>
      <c r="D160" t="s">
        <v>171</v>
      </c>
      <c r="E160" t="s">
        <v>165</v>
      </c>
      <c r="G160" s="3">
        <f>Sheet2!B371/SUM(Sheet2!B$365:B$374)</f>
        <v>9.7463426369243017E-2</v>
      </c>
      <c r="H160" s="3">
        <f>Sheet2!C371/SUM(Sheet2!C$365:C$374)</f>
        <v>9.9857347403664892E-2</v>
      </c>
    </row>
    <row r="161" spans="1:8">
      <c r="A161" t="s">
        <v>7</v>
      </c>
      <c r="C161" t="s">
        <v>455</v>
      </c>
      <c r="D161" t="s">
        <v>172</v>
      </c>
      <c r="E161" t="s">
        <v>165</v>
      </c>
      <c r="G161" s="3">
        <f>Sheet2!B372/SUM(Sheet2!B$365:B$374)</f>
        <v>0.11584003409046691</v>
      </c>
      <c r="H161" s="3">
        <f>Sheet2!C372/SUM(Sheet2!C$365:C$374)</f>
        <v>0.12126451131307291</v>
      </c>
    </row>
    <row r="162" spans="1:8">
      <c r="A162" t="s">
        <v>7</v>
      </c>
      <c r="C162" t="s">
        <v>455</v>
      </c>
      <c r="D162" t="s">
        <v>173</v>
      </c>
      <c r="E162" t="s">
        <v>165</v>
      </c>
      <c r="G162" s="3">
        <f>Sheet2!B373/SUM(Sheet2!B$365:B$374)</f>
        <v>0.15036400876550857</v>
      </c>
      <c r="H162" s="3">
        <f>Sheet2!C373/SUM(Sheet2!C$365:C$374)</f>
        <v>0.15168673487724935</v>
      </c>
    </row>
    <row r="163" spans="1:8">
      <c r="A163" t="s">
        <v>7</v>
      </c>
      <c r="C163" t="s">
        <v>455</v>
      </c>
      <c r="D163" t="s">
        <v>174</v>
      </c>
      <c r="E163" t="s">
        <v>165</v>
      </c>
      <c r="G163" s="3">
        <f>Sheet2!B374/SUM(Sheet2!B$365:B$374)</f>
        <v>0.31979803274454377</v>
      </c>
      <c r="H163" s="3">
        <f>Sheet2!C374/SUM(Sheet2!C$365:C$374)</f>
        <v>0.29481185980981944</v>
      </c>
    </row>
    <row r="164" spans="1:8">
      <c r="A164" t="s">
        <v>7</v>
      </c>
      <c r="C164" t="s">
        <v>455</v>
      </c>
      <c r="D164" t="s">
        <v>175</v>
      </c>
      <c r="E164" t="s">
        <v>143</v>
      </c>
      <c r="G164" s="6">
        <f>Sheet2!B382</f>
        <v>4.2213989999999999</v>
      </c>
      <c r="H164" s="6">
        <f>Sheet2!C382</f>
        <v>5.0926419999999997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Y454"/>
  <sheetViews>
    <sheetView topLeftCell="A280" zoomScale="48" workbookViewId="0">
      <selection activeCell="C383" sqref="C383"/>
    </sheetView>
  </sheetViews>
  <sheetFormatPr defaultRowHeight="14"/>
  <cols>
    <col min="2" max="2" width="11.1640625" bestFit="1" customWidth="1"/>
  </cols>
  <sheetData>
    <row r="1" spans="1:25" ht="16">
      <c r="A1" t="s">
        <v>176</v>
      </c>
      <c r="B1" t="s">
        <v>177</v>
      </c>
      <c r="C1" t="s">
        <v>178</v>
      </c>
      <c r="D1" t="s">
        <v>179</v>
      </c>
      <c r="H1" t="s">
        <v>377</v>
      </c>
      <c r="R1" s="7" t="s">
        <v>176</v>
      </c>
      <c r="S1" s="2" t="s">
        <v>177</v>
      </c>
      <c r="T1" s="2" t="s">
        <v>178</v>
      </c>
      <c r="U1" s="2" t="s">
        <v>179</v>
      </c>
      <c r="V1" s="2"/>
      <c r="W1" s="2"/>
      <c r="X1" s="2"/>
      <c r="Y1" s="2"/>
    </row>
    <row r="2" spans="1:25" ht="16">
      <c r="A2" t="s">
        <v>180</v>
      </c>
      <c r="B2" t="s">
        <v>181</v>
      </c>
      <c r="C2" t="s">
        <v>182</v>
      </c>
      <c r="D2" t="s">
        <v>183</v>
      </c>
      <c r="H2" t="s">
        <v>225</v>
      </c>
      <c r="R2" s="7" t="s">
        <v>180</v>
      </c>
      <c r="S2" t="s">
        <v>415</v>
      </c>
      <c r="T2" t="s">
        <v>182</v>
      </c>
      <c r="U2" t="s">
        <v>183</v>
      </c>
    </row>
    <row r="4" spans="1:25" ht="16">
      <c r="A4" t="s">
        <v>184</v>
      </c>
      <c r="B4" t="s">
        <v>185</v>
      </c>
      <c r="C4" t="s">
        <v>186</v>
      </c>
      <c r="H4" t="s">
        <v>226</v>
      </c>
      <c r="R4" s="7" t="s">
        <v>184</v>
      </c>
      <c r="S4" t="s">
        <v>185</v>
      </c>
      <c r="T4" t="s">
        <v>186</v>
      </c>
    </row>
    <row r="5" spans="1:25" ht="16">
      <c r="A5" t="s">
        <v>187</v>
      </c>
      <c r="B5" t="s">
        <v>188</v>
      </c>
      <c r="C5" t="s">
        <v>189</v>
      </c>
      <c r="H5" t="s">
        <v>227</v>
      </c>
      <c r="R5" s="7" t="s">
        <v>187</v>
      </c>
      <c r="S5" t="s">
        <v>188</v>
      </c>
      <c r="T5" t="s">
        <v>189</v>
      </c>
    </row>
    <row r="6" spans="1:25" ht="16">
      <c r="A6" t="s">
        <v>190</v>
      </c>
      <c r="B6" t="s">
        <v>191</v>
      </c>
      <c r="C6" t="s">
        <v>192</v>
      </c>
      <c r="H6" t="s">
        <v>228</v>
      </c>
      <c r="R6" s="7" t="s">
        <v>190</v>
      </c>
      <c r="S6" t="s">
        <v>191</v>
      </c>
      <c r="T6" t="s">
        <v>192</v>
      </c>
    </row>
    <row r="7" spans="1:25" ht="16">
      <c r="A7" t="s">
        <v>193</v>
      </c>
      <c r="B7" t="s">
        <v>185</v>
      </c>
      <c r="C7" t="s">
        <v>186</v>
      </c>
      <c r="H7" t="s">
        <v>229</v>
      </c>
      <c r="R7" s="7" t="s">
        <v>193</v>
      </c>
      <c r="S7" t="s">
        <v>185</v>
      </c>
      <c r="T7" t="s">
        <v>186</v>
      </c>
    </row>
    <row r="8" spans="1:25" ht="16">
      <c r="A8" t="s">
        <v>194</v>
      </c>
      <c r="B8">
        <f>S8</f>
        <v>0.62069479999999999</v>
      </c>
      <c r="C8">
        <f>T8</f>
        <v>0.74275979999999997</v>
      </c>
      <c r="H8" t="s">
        <v>230</v>
      </c>
      <c r="R8" s="7" t="s">
        <v>194</v>
      </c>
      <c r="S8">
        <v>0.62069479999999999</v>
      </c>
      <c r="T8">
        <v>0.74275979999999997</v>
      </c>
    </row>
    <row r="9" spans="1:25" ht="16">
      <c r="A9" t="s">
        <v>195</v>
      </c>
      <c r="B9">
        <f t="shared" ref="B9:B36" si="0">S9</f>
        <v>0.62747620000000004</v>
      </c>
      <c r="C9">
        <f t="shared" ref="C9:C36" si="1">T9</f>
        <v>0.73149450000000005</v>
      </c>
      <c r="H9" t="s">
        <v>231</v>
      </c>
      <c r="R9" s="7" t="s">
        <v>195</v>
      </c>
      <c r="S9">
        <v>0.62747620000000004</v>
      </c>
      <c r="T9">
        <v>0.73149450000000005</v>
      </c>
    </row>
    <row r="10" spans="1:25" ht="16">
      <c r="A10" t="s">
        <v>196</v>
      </c>
      <c r="B10">
        <f t="shared" si="0"/>
        <v>0.60049459999999999</v>
      </c>
      <c r="C10">
        <f t="shared" si="1"/>
        <v>0.70903550000000004</v>
      </c>
      <c r="H10" t="s">
        <v>232</v>
      </c>
      <c r="R10" s="7" t="s">
        <v>196</v>
      </c>
      <c r="S10">
        <v>0.60049459999999999</v>
      </c>
      <c r="T10">
        <v>0.70903550000000004</v>
      </c>
    </row>
    <row r="11" spans="1:25" ht="16">
      <c r="A11" t="s">
        <v>197</v>
      </c>
      <c r="B11">
        <f t="shared" si="0"/>
        <v>0.59170529999999999</v>
      </c>
      <c r="C11">
        <f t="shared" si="1"/>
        <v>0.71301559999999997</v>
      </c>
      <c r="H11" t="s">
        <v>233</v>
      </c>
      <c r="R11" s="7" t="s">
        <v>197</v>
      </c>
      <c r="S11">
        <v>0.59170529999999999</v>
      </c>
      <c r="T11">
        <v>0.71301559999999997</v>
      </c>
    </row>
    <row r="12" spans="1:25" ht="16">
      <c r="A12" t="s">
        <v>198</v>
      </c>
      <c r="B12">
        <f t="shared" si="0"/>
        <v>0.58955709999999995</v>
      </c>
      <c r="C12">
        <f t="shared" si="1"/>
        <v>0.72099729999999995</v>
      </c>
      <c r="H12" t="s">
        <v>234</v>
      </c>
      <c r="R12" s="7" t="s">
        <v>198</v>
      </c>
      <c r="S12">
        <v>0.58955709999999995</v>
      </c>
      <c r="T12">
        <v>0.72099729999999995</v>
      </c>
    </row>
    <row r="13" spans="1:25" ht="16">
      <c r="A13" t="s">
        <v>199</v>
      </c>
      <c r="B13">
        <f t="shared" si="0"/>
        <v>0.5721231</v>
      </c>
      <c r="C13">
        <f t="shared" si="1"/>
        <v>0.71399020000000002</v>
      </c>
      <c r="H13" t="s">
        <v>235</v>
      </c>
      <c r="R13" s="7" t="s">
        <v>199</v>
      </c>
      <c r="S13">
        <v>0.5721231</v>
      </c>
      <c r="T13">
        <v>0.71399020000000002</v>
      </c>
    </row>
    <row r="14" spans="1:25" ht="16">
      <c r="A14" t="s">
        <v>200</v>
      </c>
      <c r="B14">
        <f t="shared" si="0"/>
        <v>0.57131639999999995</v>
      </c>
      <c r="C14">
        <f t="shared" si="1"/>
        <v>0.73054209999999997</v>
      </c>
      <c r="H14" t="s">
        <v>236</v>
      </c>
      <c r="R14" s="7" t="s">
        <v>200</v>
      </c>
      <c r="S14">
        <v>0.57131639999999995</v>
      </c>
      <c r="T14">
        <v>0.73054209999999997</v>
      </c>
    </row>
    <row r="15" spans="1:25" ht="16">
      <c r="A15" t="s">
        <v>201</v>
      </c>
      <c r="B15">
        <f t="shared" si="0"/>
        <v>0.56394860000000002</v>
      </c>
      <c r="C15">
        <f t="shared" si="1"/>
        <v>0.74474019999999996</v>
      </c>
      <c r="H15" t="s">
        <v>237</v>
      </c>
      <c r="R15" s="7" t="s">
        <v>201</v>
      </c>
      <c r="S15">
        <v>0.56394860000000002</v>
      </c>
      <c r="T15">
        <v>0.74474019999999996</v>
      </c>
    </row>
    <row r="16" spans="1:25" ht="16">
      <c r="A16" t="s">
        <v>202</v>
      </c>
      <c r="B16">
        <f t="shared" si="0"/>
        <v>0.55611900000000003</v>
      </c>
      <c r="C16">
        <f t="shared" si="1"/>
        <v>0.73095580000000004</v>
      </c>
      <c r="H16" t="s">
        <v>238</v>
      </c>
      <c r="R16" s="7" t="s">
        <v>202</v>
      </c>
      <c r="S16">
        <v>0.55611900000000003</v>
      </c>
      <c r="T16">
        <v>0.73095580000000004</v>
      </c>
    </row>
    <row r="17" spans="1:21" ht="16">
      <c r="A17" t="s">
        <v>203</v>
      </c>
      <c r="B17">
        <f t="shared" si="0"/>
        <v>0.5181019</v>
      </c>
      <c r="C17">
        <f t="shared" si="1"/>
        <v>0.75361900000000004</v>
      </c>
      <c r="H17" t="s">
        <v>239</v>
      </c>
      <c r="R17" s="7" t="s">
        <v>203</v>
      </c>
      <c r="S17">
        <v>0.5181019</v>
      </c>
      <c r="T17">
        <v>0.75361900000000004</v>
      </c>
    </row>
    <row r="18" spans="1:21" ht="16">
      <c r="A18" t="s">
        <v>184</v>
      </c>
      <c r="B18" t="str">
        <f t="shared" si="0"/>
        <v>------------------</v>
      </c>
      <c r="C18" t="str">
        <f t="shared" si="1"/>
        <v>-------------------</v>
      </c>
      <c r="H18" t="s">
        <v>226</v>
      </c>
      <c r="R18" s="7" t="s">
        <v>184</v>
      </c>
      <c r="S18" t="s">
        <v>185</v>
      </c>
      <c r="T18" t="s">
        <v>186</v>
      </c>
    </row>
    <row r="19" spans="1:21">
      <c r="B19">
        <f t="shared" si="0"/>
        <v>0</v>
      </c>
      <c r="C19">
        <f t="shared" si="1"/>
        <v>0</v>
      </c>
    </row>
    <row r="20" spans="1:21" ht="16">
      <c r="A20" t="s">
        <v>180</v>
      </c>
      <c r="B20" t="str">
        <f t="shared" si="0"/>
        <v>uc1 rural [aw=ppop</v>
      </c>
      <c r="C20" t="str">
        <f t="shared" si="1"/>
        <v>wgt], c(mean transp</v>
      </c>
      <c r="D20" t="s">
        <v>205</v>
      </c>
      <c r="H20" t="s">
        <v>240</v>
      </c>
      <c r="R20" s="7" t="s">
        <v>180</v>
      </c>
      <c r="S20" t="s">
        <v>415</v>
      </c>
      <c r="T20" t="s">
        <v>204</v>
      </c>
      <c r="U20" t="s">
        <v>205</v>
      </c>
    </row>
    <row r="21" spans="1:21">
      <c r="B21">
        <f t="shared" si="0"/>
        <v>0</v>
      </c>
      <c r="C21">
        <f t="shared" si="1"/>
        <v>0</v>
      </c>
    </row>
    <row r="22" spans="1:21" ht="16">
      <c r="A22" t="s">
        <v>184</v>
      </c>
      <c r="B22" t="str">
        <f t="shared" si="0"/>
        <v>------------------</v>
      </c>
      <c r="C22" t="str">
        <f t="shared" si="1"/>
        <v>-------------------</v>
      </c>
      <c r="H22" t="s">
        <v>226</v>
      </c>
      <c r="R22" s="7" t="s">
        <v>184</v>
      </c>
      <c r="S22" t="s">
        <v>185</v>
      </c>
      <c r="T22" t="s">
        <v>186</v>
      </c>
    </row>
    <row r="23" spans="1:21" ht="16">
      <c r="A23" t="s">
        <v>187</v>
      </c>
      <c r="B23" t="str">
        <f t="shared" si="0"/>
        <v>rura</v>
      </c>
      <c r="C23" t="str">
        <f t="shared" si="1"/>
        <v>l area</v>
      </c>
      <c r="H23" t="s">
        <v>227</v>
      </c>
      <c r="R23" s="7" t="s">
        <v>187</v>
      </c>
      <c r="S23" t="s">
        <v>188</v>
      </c>
      <c r="T23" t="s">
        <v>189</v>
      </c>
    </row>
    <row r="24" spans="1:21" ht="16">
      <c r="A24" t="s">
        <v>190</v>
      </c>
      <c r="B24" t="str">
        <f t="shared" si="0"/>
        <v>[0]not rural area</v>
      </c>
      <c r="C24" t="str">
        <f t="shared" si="1"/>
        <v>[1]rural area</v>
      </c>
      <c r="H24" t="s">
        <v>228</v>
      </c>
      <c r="R24" s="7" t="s">
        <v>190</v>
      </c>
      <c r="S24" t="s">
        <v>191</v>
      </c>
      <c r="T24" t="s">
        <v>192</v>
      </c>
    </row>
    <row r="25" spans="1:21" ht="16">
      <c r="A25" t="s">
        <v>193</v>
      </c>
      <c r="B25" t="str">
        <f t="shared" si="0"/>
        <v>------------------</v>
      </c>
      <c r="C25" t="str">
        <f t="shared" si="1"/>
        <v>-------------------</v>
      </c>
      <c r="H25" t="s">
        <v>229</v>
      </c>
      <c r="R25" s="7" t="s">
        <v>193</v>
      </c>
      <c r="S25" t="s">
        <v>185</v>
      </c>
      <c r="T25" t="s">
        <v>186</v>
      </c>
    </row>
    <row r="26" spans="1:21" ht="16">
      <c r="A26" t="s">
        <v>194</v>
      </c>
      <c r="B26">
        <f t="shared" si="0"/>
        <v>5.2426800000000003E-2</v>
      </c>
      <c r="C26">
        <f t="shared" si="1"/>
        <v>2.9508E-2</v>
      </c>
      <c r="H26" t="s">
        <v>241</v>
      </c>
      <c r="R26" s="7" t="s">
        <v>194</v>
      </c>
      <c r="S26">
        <v>5.2426800000000003E-2</v>
      </c>
      <c r="T26">
        <v>2.9508E-2</v>
      </c>
    </row>
    <row r="27" spans="1:21" ht="16">
      <c r="A27" t="s">
        <v>195</v>
      </c>
      <c r="B27">
        <f t="shared" si="0"/>
        <v>5.8694200000000002E-2</v>
      </c>
      <c r="C27">
        <f t="shared" si="1"/>
        <v>3.8358000000000003E-2</v>
      </c>
      <c r="H27" t="s">
        <v>242</v>
      </c>
      <c r="R27" s="7" t="s">
        <v>195</v>
      </c>
      <c r="S27">
        <v>5.8694200000000002E-2</v>
      </c>
      <c r="T27">
        <v>3.8358000000000003E-2</v>
      </c>
    </row>
    <row r="28" spans="1:21" ht="16">
      <c r="A28" t="s">
        <v>196</v>
      </c>
      <c r="B28">
        <f t="shared" si="0"/>
        <v>6.9558200000000001E-2</v>
      </c>
      <c r="C28">
        <f t="shared" si="1"/>
        <v>5.0432900000000003E-2</v>
      </c>
      <c r="H28" t="s">
        <v>243</v>
      </c>
      <c r="R28" s="7" t="s">
        <v>196</v>
      </c>
      <c r="S28">
        <v>6.9558200000000001E-2</v>
      </c>
      <c r="T28">
        <v>5.0432900000000003E-2</v>
      </c>
    </row>
    <row r="29" spans="1:21" ht="16">
      <c r="A29" t="s">
        <v>197</v>
      </c>
      <c r="B29">
        <f t="shared" si="0"/>
        <v>6.6596699999999995E-2</v>
      </c>
      <c r="C29">
        <f t="shared" si="1"/>
        <v>5.91678E-2</v>
      </c>
      <c r="H29" t="s">
        <v>244</v>
      </c>
      <c r="R29" s="7" t="s">
        <v>197</v>
      </c>
      <c r="S29">
        <v>6.6596699999999995E-2</v>
      </c>
      <c r="T29">
        <v>5.91678E-2</v>
      </c>
    </row>
    <row r="30" spans="1:21" ht="16">
      <c r="A30" t="s">
        <v>198</v>
      </c>
      <c r="B30">
        <f t="shared" si="0"/>
        <v>6.4505900000000005E-2</v>
      </c>
      <c r="C30">
        <f t="shared" si="1"/>
        <v>5.3768499999999997E-2</v>
      </c>
      <c r="H30" t="s">
        <v>245</v>
      </c>
      <c r="R30" s="7" t="s">
        <v>198</v>
      </c>
      <c r="S30">
        <v>6.4505900000000005E-2</v>
      </c>
      <c r="T30">
        <v>5.3768499999999997E-2</v>
      </c>
    </row>
    <row r="31" spans="1:21" ht="16">
      <c r="A31" t="s">
        <v>199</v>
      </c>
      <c r="B31">
        <f t="shared" si="0"/>
        <v>7.5128600000000004E-2</v>
      </c>
      <c r="C31">
        <f t="shared" si="1"/>
        <v>6.3173099999999996E-2</v>
      </c>
      <c r="H31" t="s">
        <v>246</v>
      </c>
      <c r="R31" s="7" t="s">
        <v>199</v>
      </c>
      <c r="S31">
        <v>7.5128600000000004E-2</v>
      </c>
      <c r="T31">
        <v>6.3173099999999996E-2</v>
      </c>
    </row>
    <row r="32" spans="1:21" ht="16">
      <c r="A32" t="s">
        <v>200</v>
      </c>
      <c r="B32">
        <f t="shared" si="0"/>
        <v>7.4972800000000006E-2</v>
      </c>
      <c r="C32">
        <f t="shared" si="1"/>
        <v>5.41103E-2</v>
      </c>
      <c r="H32" t="s">
        <v>247</v>
      </c>
      <c r="R32" s="7" t="s">
        <v>200</v>
      </c>
      <c r="S32">
        <v>7.4972800000000006E-2</v>
      </c>
      <c r="T32">
        <v>5.41103E-2</v>
      </c>
    </row>
    <row r="33" spans="1:21" ht="16">
      <c r="A33" t="s">
        <v>201</v>
      </c>
      <c r="B33">
        <f t="shared" si="0"/>
        <v>7.8107899999999994E-2</v>
      </c>
      <c r="C33">
        <f t="shared" si="1"/>
        <v>5.4198999999999997E-2</v>
      </c>
      <c r="H33" t="s">
        <v>248</v>
      </c>
      <c r="R33" s="7" t="s">
        <v>201</v>
      </c>
      <c r="S33">
        <v>7.8107899999999994E-2</v>
      </c>
      <c r="T33">
        <v>5.4198999999999997E-2</v>
      </c>
    </row>
    <row r="34" spans="1:21" ht="16">
      <c r="A34" t="s">
        <v>202</v>
      </c>
      <c r="B34">
        <f t="shared" si="0"/>
        <v>8.6648600000000006E-2</v>
      </c>
      <c r="C34">
        <f t="shared" si="1"/>
        <v>6.7744899999999997E-2</v>
      </c>
      <c r="H34" t="s">
        <v>249</v>
      </c>
      <c r="R34" s="7" t="s">
        <v>202</v>
      </c>
      <c r="S34">
        <v>8.6648600000000006E-2</v>
      </c>
      <c r="T34">
        <v>6.7744899999999997E-2</v>
      </c>
    </row>
    <row r="35" spans="1:21" ht="16">
      <c r="A35" t="s">
        <v>203</v>
      </c>
      <c r="B35">
        <f t="shared" si="0"/>
        <v>9.4566600000000001E-2</v>
      </c>
      <c r="C35">
        <f t="shared" si="1"/>
        <v>5.09159E-2</v>
      </c>
      <c r="H35" t="s">
        <v>250</v>
      </c>
      <c r="R35" s="7" t="s">
        <v>203</v>
      </c>
      <c r="S35">
        <v>9.4566600000000001E-2</v>
      </c>
      <c r="T35">
        <v>5.09159E-2</v>
      </c>
    </row>
    <row r="36" spans="1:21" ht="16">
      <c r="A36" t="s">
        <v>184</v>
      </c>
      <c r="B36" t="str">
        <f t="shared" si="0"/>
        <v>------------------</v>
      </c>
      <c r="C36" t="str">
        <f t="shared" si="1"/>
        <v>-------------------</v>
      </c>
      <c r="H36" t="s">
        <v>226</v>
      </c>
      <c r="R36" s="7" t="s">
        <v>184</v>
      </c>
      <c r="S36" t="s">
        <v>185</v>
      </c>
      <c r="T36" t="s">
        <v>186</v>
      </c>
    </row>
    <row r="37" spans="1:21">
      <c r="B37">
        <f t="shared" ref="B37:B90" si="2">S37</f>
        <v>0</v>
      </c>
      <c r="C37">
        <f t="shared" ref="C37:C90" si="3">T37</f>
        <v>0</v>
      </c>
    </row>
    <row r="38" spans="1:21" ht="16">
      <c r="A38" t="s">
        <v>180</v>
      </c>
      <c r="B38" t="str">
        <f t="shared" si="2"/>
        <v>uc1 rural [aw=ppop</v>
      </c>
      <c r="C38" t="str">
        <f t="shared" si="3"/>
        <v>wgt], c(mean housin</v>
      </c>
      <c r="D38" t="s">
        <v>207</v>
      </c>
      <c r="H38" t="s">
        <v>251</v>
      </c>
      <c r="R38" s="7" t="s">
        <v>180</v>
      </c>
      <c r="S38" t="s">
        <v>415</v>
      </c>
      <c r="T38" t="s">
        <v>206</v>
      </c>
      <c r="U38" t="s">
        <v>207</v>
      </c>
    </row>
    <row r="39" spans="1:21">
      <c r="B39">
        <f t="shared" si="2"/>
        <v>0</v>
      </c>
      <c r="C39">
        <f t="shared" si="3"/>
        <v>0</v>
      </c>
    </row>
    <row r="40" spans="1:21" ht="16">
      <c r="A40" t="s">
        <v>184</v>
      </c>
      <c r="B40" t="str">
        <f t="shared" si="2"/>
        <v>------------------</v>
      </c>
      <c r="C40" t="str">
        <f t="shared" si="3"/>
        <v>-------------------</v>
      </c>
      <c r="H40" t="s">
        <v>226</v>
      </c>
      <c r="R40" s="7" t="s">
        <v>184</v>
      </c>
      <c r="S40" t="s">
        <v>185</v>
      </c>
      <c r="T40" t="s">
        <v>186</v>
      </c>
    </row>
    <row r="41" spans="1:21" ht="16">
      <c r="A41" t="s">
        <v>187</v>
      </c>
      <c r="B41" t="str">
        <f t="shared" si="2"/>
        <v>rura</v>
      </c>
      <c r="C41" t="str">
        <f t="shared" si="3"/>
        <v>l area</v>
      </c>
      <c r="H41" t="s">
        <v>227</v>
      </c>
      <c r="R41" s="7" t="s">
        <v>187</v>
      </c>
      <c r="S41" t="s">
        <v>188</v>
      </c>
      <c r="T41" t="s">
        <v>189</v>
      </c>
    </row>
    <row r="42" spans="1:21" ht="16">
      <c r="A42" t="s">
        <v>190</v>
      </c>
      <c r="B42" t="str">
        <f t="shared" si="2"/>
        <v>[0]not rural area</v>
      </c>
      <c r="C42" t="str">
        <f t="shared" si="3"/>
        <v>[1]rural area</v>
      </c>
      <c r="H42" t="s">
        <v>228</v>
      </c>
      <c r="R42" s="7" t="s">
        <v>190</v>
      </c>
      <c r="S42" t="s">
        <v>191</v>
      </c>
      <c r="T42" t="s">
        <v>192</v>
      </c>
    </row>
    <row r="43" spans="1:21" ht="16">
      <c r="A43" t="s">
        <v>193</v>
      </c>
      <c r="B43" t="str">
        <f t="shared" si="2"/>
        <v>------------------</v>
      </c>
      <c r="C43" t="str">
        <f t="shared" si="3"/>
        <v>-------------------</v>
      </c>
      <c r="H43" t="s">
        <v>229</v>
      </c>
      <c r="R43" s="7" t="s">
        <v>193</v>
      </c>
      <c r="S43" t="s">
        <v>185</v>
      </c>
      <c r="T43" t="s">
        <v>186</v>
      </c>
    </row>
    <row r="44" spans="1:21" ht="16">
      <c r="A44" t="s">
        <v>194</v>
      </c>
      <c r="B44">
        <f t="shared" si="2"/>
        <v>7.0907600000000001E-2</v>
      </c>
      <c r="C44">
        <f t="shared" si="3"/>
        <v>1.5799500000000001E-2</v>
      </c>
      <c r="H44" t="s">
        <v>252</v>
      </c>
      <c r="R44" s="7" t="s">
        <v>194</v>
      </c>
      <c r="S44">
        <v>7.0907600000000001E-2</v>
      </c>
      <c r="T44">
        <v>1.5799500000000001E-2</v>
      </c>
    </row>
    <row r="45" spans="1:21" ht="16">
      <c r="A45" t="s">
        <v>195</v>
      </c>
      <c r="B45">
        <f t="shared" si="2"/>
        <v>5.8073699999999999E-2</v>
      </c>
      <c r="C45">
        <f t="shared" si="3"/>
        <v>2.0576400000000002E-2</v>
      </c>
      <c r="H45" t="s">
        <v>253</v>
      </c>
      <c r="R45" s="7" t="s">
        <v>195</v>
      </c>
      <c r="S45">
        <v>5.8073699999999999E-2</v>
      </c>
      <c r="T45">
        <v>2.0576400000000002E-2</v>
      </c>
    </row>
    <row r="46" spans="1:21" ht="16">
      <c r="A46" t="s">
        <v>196</v>
      </c>
      <c r="B46">
        <f t="shared" si="2"/>
        <v>7.2192900000000004E-2</v>
      </c>
      <c r="C46">
        <f t="shared" si="3"/>
        <v>1.81441E-2</v>
      </c>
      <c r="H46" t="s">
        <v>254</v>
      </c>
      <c r="R46" s="7" t="s">
        <v>196</v>
      </c>
      <c r="S46">
        <v>7.2192900000000004E-2</v>
      </c>
      <c r="T46">
        <v>1.81441E-2</v>
      </c>
    </row>
    <row r="47" spans="1:21" ht="16">
      <c r="A47" t="s">
        <v>197</v>
      </c>
      <c r="B47">
        <f t="shared" si="2"/>
        <v>7.4015600000000001E-2</v>
      </c>
      <c r="C47">
        <f t="shared" si="3"/>
        <v>1.7271399999999999E-2</v>
      </c>
      <c r="H47" t="s">
        <v>255</v>
      </c>
      <c r="R47" s="7" t="s">
        <v>197</v>
      </c>
      <c r="S47">
        <v>7.4015600000000001E-2</v>
      </c>
      <c r="T47">
        <v>1.7271399999999999E-2</v>
      </c>
    </row>
    <row r="48" spans="1:21" ht="16">
      <c r="A48" t="s">
        <v>198</v>
      </c>
      <c r="B48">
        <f t="shared" si="2"/>
        <v>7.8971799999999995E-2</v>
      </c>
      <c r="C48">
        <f t="shared" si="3"/>
        <v>1.4127499999999999E-2</v>
      </c>
      <c r="H48" t="s">
        <v>256</v>
      </c>
      <c r="R48" s="7" t="s">
        <v>198</v>
      </c>
      <c r="S48">
        <v>7.8971799999999995E-2</v>
      </c>
      <c r="T48">
        <v>1.4127499999999999E-2</v>
      </c>
    </row>
    <row r="49" spans="1:21" ht="16">
      <c r="A49" t="s">
        <v>199</v>
      </c>
      <c r="B49">
        <f t="shared" si="2"/>
        <v>8.2855799999999993E-2</v>
      </c>
      <c r="C49">
        <f t="shared" si="3"/>
        <v>1.53543E-2</v>
      </c>
      <c r="H49" t="s">
        <v>257</v>
      </c>
      <c r="R49" s="7" t="s">
        <v>199</v>
      </c>
      <c r="S49">
        <v>8.2855799999999993E-2</v>
      </c>
      <c r="T49">
        <v>1.53543E-2</v>
      </c>
    </row>
    <row r="50" spans="1:21" ht="16">
      <c r="A50" t="s">
        <v>200</v>
      </c>
      <c r="B50">
        <f t="shared" si="2"/>
        <v>8.3327200000000004E-2</v>
      </c>
      <c r="C50">
        <f t="shared" si="3"/>
        <v>1.4609199999999999E-2</v>
      </c>
      <c r="H50" t="s">
        <v>258</v>
      </c>
      <c r="R50" s="7" t="s">
        <v>200</v>
      </c>
      <c r="S50">
        <v>8.3327200000000004E-2</v>
      </c>
      <c r="T50">
        <v>1.4609199999999999E-2</v>
      </c>
    </row>
    <row r="51" spans="1:21" ht="16">
      <c r="A51" t="s">
        <v>201</v>
      </c>
      <c r="B51">
        <f t="shared" si="2"/>
        <v>8.4000099999999994E-2</v>
      </c>
      <c r="C51">
        <f t="shared" si="3"/>
        <v>1.43559E-2</v>
      </c>
      <c r="H51" t="s">
        <v>259</v>
      </c>
      <c r="R51" s="7" t="s">
        <v>201</v>
      </c>
      <c r="S51">
        <v>8.4000099999999994E-2</v>
      </c>
      <c r="T51">
        <v>1.43559E-2</v>
      </c>
    </row>
    <row r="52" spans="1:21" ht="16">
      <c r="A52" t="s">
        <v>202</v>
      </c>
      <c r="B52">
        <f t="shared" si="2"/>
        <v>8.6105100000000004E-2</v>
      </c>
      <c r="C52">
        <f t="shared" si="3"/>
        <v>1.7587599999999998E-2</v>
      </c>
      <c r="H52" t="s">
        <v>260</v>
      </c>
      <c r="R52" s="7" t="s">
        <v>202</v>
      </c>
      <c r="S52">
        <v>8.6105100000000004E-2</v>
      </c>
      <c r="T52">
        <v>1.7587599999999998E-2</v>
      </c>
    </row>
    <row r="53" spans="1:21" ht="16">
      <c r="A53" t="s">
        <v>203</v>
      </c>
      <c r="B53">
        <f t="shared" si="2"/>
        <v>9.4074599999999994E-2</v>
      </c>
      <c r="C53">
        <f t="shared" si="3"/>
        <v>2.7319099999999999E-2</v>
      </c>
      <c r="H53" t="s">
        <v>261</v>
      </c>
      <c r="R53" s="7" t="s">
        <v>203</v>
      </c>
      <c r="S53">
        <v>9.4074599999999994E-2</v>
      </c>
      <c r="T53">
        <v>2.7319099999999999E-2</v>
      </c>
    </row>
    <row r="54" spans="1:21" ht="16">
      <c r="A54" t="s">
        <v>184</v>
      </c>
      <c r="B54" t="str">
        <f t="shared" si="2"/>
        <v>------------------</v>
      </c>
      <c r="C54" t="str">
        <f t="shared" si="3"/>
        <v>-------------------</v>
      </c>
      <c r="H54" t="s">
        <v>226</v>
      </c>
      <c r="R54" s="7" t="s">
        <v>184</v>
      </c>
      <c r="S54" t="s">
        <v>185</v>
      </c>
      <c r="T54" t="s">
        <v>186</v>
      </c>
    </row>
    <row r="55" spans="1:21">
      <c r="B55">
        <f t="shared" si="2"/>
        <v>0</v>
      </c>
      <c r="C55">
        <f t="shared" si="3"/>
        <v>0</v>
      </c>
    </row>
    <row r="56" spans="1:21" ht="16">
      <c r="A56" t="s">
        <v>180</v>
      </c>
      <c r="B56" t="str">
        <f t="shared" si="2"/>
        <v>uc1 rural [aw=ppop</v>
      </c>
      <c r="C56" t="str">
        <f t="shared" si="3"/>
        <v>wgt], c(mean other_</v>
      </c>
      <c r="D56" t="s">
        <v>209</v>
      </c>
      <c r="H56" t="s">
        <v>262</v>
      </c>
      <c r="R56" s="7" t="s">
        <v>180</v>
      </c>
      <c r="S56" t="s">
        <v>415</v>
      </c>
      <c r="T56" t="s">
        <v>208</v>
      </c>
      <c r="U56" t="s">
        <v>209</v>
      </c>
    </row>
    <row r="57" spans="1:21">
      <c r="B57">
        <f t="shared" si="2"/>
        <v>0</v>
      </c>
      <c r="C57">
        <f t="shared" si="3"/>
        <v>0</v>
      </c>
    </row>
    <row r="58" spans="1:21" ht="16">
      <c r="A58" t="s">
        <v>184</v>
      </c>
      <c r="B58" t="str">
        <f t="shared" si="2"/>
        <v>------------------</v>
      </c>
      <c r="C58" t="str">
        <f t="shared" si="3"/>
        <v>-------------------</v>
      </c>
      <c r="H58" t="s">
        <v>226</v>
      </c>
      <c r="R58" s="7" t="s">
        <v>184</v>
      </c>
      <c r="S58" t="s">
        <v>185</v>
      </c>
      <c r="T58" t="s">
        <v>186</v>
      </c>
    </row>
    <row r="59" spans="1:21" ht="16">
      <c r="A59" t="s">
        <v>187</v>
      </c>
      <c r="B59" t="str">
        <f t="shared" si="2"/>
        <v>rura</v>
      </c>
      <c r="C59" t="str">
        <f t="shared" si="3"/>
        <v>l area</v>
      </c>
      <c r="H59" t="s">
        <v>227</v>
      </c>
      <c r="R59" s="7" t="s">
        <v>187</v>
      </c>
      <c r="S59" t="s">
        <v>188</v>
      </c>
      <c r="T59" t="s">
        <v>189</v>
      </c>
    </row>
    <row r="60" spans="1:21" ht="16">
      <c r="A60" t="s">
        <v>190</v>
      </c>
      <c r="B60" t="str">
        <f t="shared" si="2"/>
        <v>[0]not rural area</v>
      </c>
      <c r="C60" t="str">
        <f t="shared" si="3"/>
        <v>[1]rural area</v>
      </c>
      <c r="H60" t="s">
        <v>228</v>
      </c>
      <c r="R60" s="7" t="s">
        <v>190</v>
      </c>
      <c r="S60" t="s">
        <v>191</v>
      </c>
      <c r="T60" t="s">
        <v>192</v>
      </c>
    </row>
    <row r="61" spans="1:21" ht="16">
      <c r="A61" t="s">
        <v>193</v>
      </c>
      <c r="B61" t="str">
        <f t="shared" si="2"/>
        <v>------------------</v>
      </c>
      <c r="C61" t="str">
        <f t="shared" si="3"/>
        <v>-------------------</v>
      </c>
      <c r="H61" t="s">
        <v>229</v>
      </c>
      <c r="R61" s="7" t="s">
        <v>193</v>
      </c>
      <c r="S61" t="s">
        <v>185</v>
      </c>
      <c r="T61" t="s">
        <v>186</v>
      </c>
    </row>
    <row r="62" spans="1:21" ht="16">
      <c r="A62" t="s">
        <v>194</v>
      </c>
      <c r="B62">
        <f t="shared" si="2"/>
        <v>0.2559708</v>
      </c>
      <c r="C62">
        <f t="shared" si="3"/>
        <v>0.2119327</v>
      </c>
      <c r="H62" t="s">
        <v>263</v>
      </c>
      <c r="R62" s="7" t="s">
        <v>194</v>
      </c>
      <c r="S62">
        <v>0.2559708</v>
      </c>
      <c r="T62">
        <v>0.2119327</v>
      </c>
    </row>
    <row r="63" spans="1:21" ht="16">
      <c r="A63" t="s">
        <v>195</v>
      </c>
      <c r="B63">
        <f t="shared" si="2"/>
        <v>0.25575579999999998</v>
      </c>
      <c r="C63">
        <f t="shared" si="3"/>
        <v>0.20957100000000001</v>
      </c>
      <c r="H63" t="s">
        <v>264</v>
      </c>
      <c r="R63" s="7" t="s">
        <v>195</v>
      </c>
      <c r="S63">
        <v>0.25575579999999998</v>
      </c>
      <c r="T63">
        <v>0.20957100000000001</v>
      </c>
    </row>
    <row r="64" spans="1:21" ht="16">
      <c r="A64" t="s">
        <v>196</v>
      </c>
      <c r="B64">
        <f t="shared" si="2"/>
        <v>0.25775429999999999</v>
      </c>
      <c r="C64">
        <f t="shared" si="3"/>
        <v>0.22238749999999999</v>
      </c>
      <c r="H64" t="s">
        <v>265</v>
      </c>
      <c r="R64" s="7" t="s">
        <v>196</v>
      </c>
      <c r="S64">
        <v>0.25775429999999999</v>
      </c>
      <c r="T64">
        <v>0.22238749999999999</v>
      </c>
    </row>
    <row r="65" spans="1:21" ht="16">
      <c r="A65" t="s">
        <v>197</v>
      </c>
      <c r="B65">
        <f t="shared" si="2"/>
        <v>0.26768239999999999</v>
      </c>
      <c r="C65">
        <f t="shared" si="3"/>
        <v>0.21054539999999999</v>
      </c>
      <c r="H65" t="s">
        <v>266</v>
      </c>
      <c r="R65" s="7" t="s">
        <v>197</v>
      </c>
      <c r="S65">
        <v>0.26768239999999999</v>
      </c>
      <c r="T65">
        <v>0.21054539999999999</v>
      </c>
    </row>
    <row r="66" spans="1:21" ht="16">
      <c r="A66" t="s">
        <v>198</v>
      </c>
      <c r="B66">
        <f t="shared" si="2"/>
        <v>0.26696520000000001</v>
      </c>
      <c r="C66">
        <f t="shared" si="3"/>
        <v>0.21110670000000001</v>
      </c>
      <c r="H66" t="s">
        <v>267</v>
      </c>
      <c r="R66" s="7" t="s">
        <v>198</v>
      </c>
      <c r="S66">
        <v>0.26696520000000001</v>
      </c>
      <c r="T66">
        <v>0.21110670000000001</v>
      </c>
    </row>
    <row r="67" spans="1:21" ht="16">
      <c r="A67" t="s">
        <v>199</v>
      </c>
      <c r="B67">
        <f t="shared" si="2"/>
        <v>0.26989249999999998</v>
      </c>
      <c r="C67">
        <f t="shared" si="3"/>
        <v>0.20748249999999999</v>
      </c>
      <c r="H67" t="s">
        <v>268</v>
      </c>
      <c r="R67" s="7" t="s">
        <v>199</v>
      </c>
      <c r="S67">
        <v>0.26989249999999998</v>
      </c>
      <c r="T67">
        <v>0.20748249999999999</v>
      </c>
    </row>
    <row r="68" spans="1:21" ht="16">
      <c r="A68" t="s">
        <v>200</v>
      </c>
      <c r="B68">
        <f t="shared" si="2"/>
        <v>0.2703837</v>
      </c>
      <c r="C68">
        <f t="shared" si="3"/>
        <v>0.20073840000000001</v>
      </c>
      <c r="H68" t="s">
        <v>269</v>
      </c>
      <c r="R68" s="7" t="s">
        <v>200</v>
      </c>
      <c r="S68">
        <v>0.2703837</v>
      </c>
      <c r="T68">
        <v>0.20073840000000001</v>
      </c>
    </row>
    <row r="69" spans="1:21" ht="16">
      <c r="A69" t="s">
        <v>201</v>
      </c>
      <c r="B69">
        <f t="shared" si="2"/>
        <v>0.2739434</v>
      </c>
      <c r="C69">
        <f t="shared" si="3"/>
        <v>0.18670490000000001</v>
      </c>
      <c r="H69" t="s">
        <v>270</v>
      </c>
      <c r="R69" s="7" t="s">
        <v>201</v>
      </c>
      <c r="S69">
        <v>0.2739434</v>
      </c>
      <c r="T69">
        <v>0.18670490000000001</v>
      </c>
    </row>
    <row r="70" spans="1:21" ht="16">
      <c r="A70" t="s">
        <v>202</v>
      </c>
      <c r="B70">
        <f t="shared" si="2"/>
        <v>0.27112720000000001</v>
      </c>
      <c r="C70">
        <f t="shared" si="3"/>
        <v>0.18371170000000001</v>
      </c>
      <c r="H70" t="s">
        <v>271</v>
      </c>
      <c r="R70" s="7" t="s">
        <v>202</v>
      </c>
      <c r="S70">
        <v>0.27112720000000001</v>
      </c>
      <c r="T70">
        <v>0.18371170000000001</v>
      </c>
    </row>
    <row r="71" spans="1:21" ht="16">
      <c r="A71" t="s">
        <v>203</v>
      </c>
      <c r="B71">
        <f t="shared" si="2"/>
        <v>0.29325689999999999</v>
      </c>
      <c r="C71">
        <f t="shared" si="3"/>
        <v>0.16814599999999999</v>
      </c>
      <c r="H71" t="s">
        <v>272</v>
      </c>
      <c r="R71" s="7" t="s">
        <v>203</v>
      </c>
      <c r="S71">
        <v>0.29325689999999999</v>
      </c>
      <c r="T71">
        <v>0.16814599999999999</v>
      </c>
    </row>
    <row r="72" spans="1:21" ht="16">
      <c r="A72" t="s">
        <v>184</v>
      </c>
      <c r="B72" t="str">
        <f t="shared" si="2"/>
        <v>------------------</v>
      </c>
      <c r="C72" t="str">
        <f t="shared" si="3"/>
        <v>-------------------</v>
      </c>
      <c r="H72" t="s">
        <v>226</v>
      </c>
      <c r="R72" s="7" t="s">
        <v>184</v>
      </c>
      <c r="S72" t="s">
        <v>185</v>
      </c>
      <c r="T72" t="s">
        <v>186</v>
      </c>
    </row>
    <row r="73" spans="1:21">
      <c r="B73">
        <f t="shared" si="2"/>
        <v>0</v>
      </c>
      <c r="C73">
        <f t="shared" si="3"/>
        <v>0</v>
      </c>
    </row>
    <row r="74" spans="1:21">
      <c r="A74" t="s">
        <v>375</v>
      </c>
      <c r="B74" t="str">
        <f t="shared" si="2"/>
        <v>******************</v>
      </c>
      <c r="C74" t="str">
        <f t="shared" si="3"/>
        <v>*******************</v>
      </c>
      <c r="H74" t="s">
        <v>273</v>
      </c>
      <c r="R74" t="s">
        <v>416</v>
      </c>
      <c r="S74" t="s">
        <v>177</v>
      </c>
      <c r="T74" t="s">
        <v>178</v>
      </c>
      <c r="U74" t="s">
        <v>417</v>
      </c>
    </row>
    <row r="75" spans="1:21" ht="16">
      <c r="A75" t="s">
        <v>180</v>
      </c>
      <c r="B75" t="str">
        <f t="shared" si="2"/>
        <v>uc1 rural [aw=ppop</v>
      </c>
      <c r="C75" t="str">
        <f t="shared" si="3"/>
        <v>wgt], c(mean hiothe</v>
      </c>
      <c r="D75" t="s">
        <v>210</v>
      </c>
      <c r="H75" t="s">
        <v>274</v>
      </c>
      <c r="R75" s="7" t="s">
        <v>180</v>
      </c>
      <c r="S75" t="s">
        <v>415</v>
      </c>
      <c r="T75" t="s">
        <v>418</v>
      </c>
      <c r="U75" t="s">
        <v>419</v>
      </c>
    </row>
    <row r="76" spans="1:21" ht="16">
      <c r="B76">
        <f t="shared" si="2"/>
        <v>0</v>
      </c>
      <c r="C76">
        <f t="shared" si="3"/>
        <v>0</v>
      </c>
      <c r="R76" s="7"/>
    </row>
    <row r="77" spans="1:21">
      <c r="A77" t="s">
        <v>184</v>
      </c>
      <c r="B77" t="str">
        <f t="shared" si="2"/>
        <v>------------------</v>
      </c>
      <c r="C77" t="str">
        <f t="shared" si="3"/>
        <v>-------------------</v>
      </c>
      <c r="H77" t="s">
        <v>226</v>
      </c>
      <c r="R77" t="s">
        <v>184</v>
      </c>
      <c r="S77" t="s">
        <v>185</v>
      </c>
      <c r="T77" t="s">
        <v>186</v>
      </c>
    </row>
    <row r="78" spans="1:21" ht="16">
      <c r="A78" s="2" t="s">
        <v>187</v>
      </c>
      <c r="B78" t="str">
        <f t="shared" si="2"/>
        <v>rura</v>
      </c>
      <c r="C78" t="str">
        <f t="shared" si="3"/>
        <v>l area</v>
      </c>
      <c r="D78" s="2"/>
      <c r="H78" t="s">
        <v>227</v>
      </c>
      <c r="R78" s="7" t="s">
        <v>187</v>
      </c>
      <c r="S78" t="s">
        <v>188</v>
      </c>
      <c r="T78" t="s">
        <v>189</v>
      </c>
    </row>
    <row r="79" spans="1:21" ht="16">
      <c r="A79" s="2" t="s">
        <v>190</v>
      </c>
      <c r="B79" t="str">
        <f t="shared" si="2"/>
        <v>[0]not rural area</v>
      </c>
      <c r="C79" t="str">
        <f t="shared" si="3"/>
        <v>[1]rural area</v>
      </c>
      <c r="D79" s="2"/>
      <c r="H79" t="s">
        <v>228</v>
      </c>
      <c r="R79" s="7" t="s">
        <v>190</v>
      </c>
      <c r="S79" t="s">
        <v>191</v>
      </c>
      <c r="T79" t="s">
        <v>192</v>
      </c>
    </row>
    <row r="80" spans="1:21" ht="16">
      <c r="A80" s="2" t="s">
        <v>193</v>
      </c>
      <c r="B80" t="str">
        <f t="shared" si="2"/>
        <v>------------------</v>
      </c>
      <c r="C80" t="str">
        <f t="shared" si="3"/>
        <v>-------------------</v>
      </c>
      <c r="D80" s="2"/>
      <c r="H80" t="s">
        <v>229</v>
      </c>
      <c r="R80" s="7" t="s">
        <v>193</v>
      </c>
      <c r="S80" t="s">
        <v>185</v>
      </c>
      <c r="T80" t="s">
        <v>186</v>
      </c>
    </row>
    <row r="81" spans="1:21" ht="16">
      <c r="A81" s="2" t="s">
        <v>194</v>
      </c>
      <c r="B81">
        <f t="shared" si="2"/>
        <v>0</v>
      </c>
      <c r="C81">
        <f t="shared" si="3"/>
        <v>0</v>
      </c>
      <c r="D81" s="2"/>
      <c r="H81" t="s">
        <v>275</v>
      </c>
      <c r="R81" s="7" t="s">
        <v>194</v>
      </c>
      <c r="S81">
        <v>0</v>
      </c>
      <c r="T81">
        <v>0</v>
      </c>
    </row>
    <row r="82" spans="1:21" ht="16">
      <c r="A82" s="2" t="s">
        <v>195</v>
      </c>
      <c r="B82">
        <f t="shared" si="2"/>
        <v>0</v>
      </c>
      <c r="C82">
        <f t="shared" si="3"/>
        <v>0</v>
      </c>
      <c r="D82" s="2"/>
      <c r="H82" t="s">
        <v>276</v>
      </c>
      <c r="R82" s="7" t="s">
        <v>195</v>
      </c>
      <c r="S82" s="9">
        <v>0</v>
      </c>
      <c r="T82">
        <v>0</v>
      </c>
    </row>
    <row r="83" spans="1:21" ht="16">
      <c r="A83" s="2" t="s">
        <v>196</v>
      </c>
      <c r="B83">
        <f t="shared" si="2"/>
        <v>0</v>
      </c>
      <c r="C83">
        <f t="shared" si="3"/>
        <v>0</v>
      </c>
      <c r="D83" s="2"/>
      <c r="H83" t="s">
        <v>277</v>
      </c>
      <c r="R83" s="7" t="s">
        <v>196</v>
      </c>
      <c r="S83" s="9">
        <v>0</v>
      </c>
      <c r="T83">
        <v>0</v>
      </c>
    </row>
    <row r="84" spans="1:21" ht="16">
      <c r="A84" s="2" t="s">
        <v>197</v>
      </c>
      <c r="B84">
        <f t="shared" si="2"/>
        <v>0</v>
      </c>
      <c r="C84">
        <f t="shared" si="3"/>
        <v>0</v>
      </c>
      <c r="D84" s="2"/>
      <c r="H84" t="s">
        <v>278</v>
      </c>
      <c r="R84" s="7" t="s">
        <v>197</v>
      </c>
      <c r="S84" s="9">
        <v>0</v>
      </c>
      <c r="T84" s="9">
        <v>0</v>
      </c>
    </row>
    <row r="85" spans="1:21" ht="16">
      <c r="A85" s="2" t="s">
        <v>198</v>
      </c>
      <c r="B85">
        <f t="shared" si="2"/>
        <v>0</v>
      </c>
      <c r="C85">
        <f t="shared" si="3"/>
        <v>0</v>
      </c>
      <c r="D85" s="2"/>
      <c r="H85" t="s">
        <v>279</v>
      </c>
      <c r="R85" s="7" t="s">
        <v>198</v>
      </c>
      <c r="S85" s="9">
        <v>0</v>
      </c>
      <c r="T85">
        <v>0</v>
      </c>
    </row>
    <row r="86" spans="1:21" ht="16">
      <c r="A86" s="2" t="s">
        <v>199</v>
      </c>
      <c r="B86">
        <f t="shared" si="2"/>
        <v>0</v>
      </c>
      <c r="C86">
        <f t="shared" si="3"/>
        <v>0</v>
      </c>
      <c r="D86" s="2"/>
      <c r="H86" t="s">
        <v>280</v>
      </c>
      <c r="R86" s="7" t="s">
        <v>199</v>
      </c>
      <c r="S86" s="9">
        <v>0</v>
      </c>
      <c r="T86">
        <v>0</v>
      </c>
    </row>
    <row r="87" spans="1:21" ht="16">
      <c r="A87" s="2" t="s">
        <v>200</v>
      </c>
      <c r="B87">
        <f t="shared" si="2"/>
        <v>0</v>
      </c>
      <c r="C87">
        <f t="shared" si="3"/>
        <v>0</v>
      </c>
      <c r="D87" s="2"/>
      <c r="H87" t="s">
        <v>281</v>
      </c>
      <c r="R87" s="7" t="s">
        <v>200</v>
      </c>
      <c r="S87" s="9">
        <v>0</v>
      </c>
      <c r="T87" s="9">
        <v>0</v>
      </c>
    </row>
    <row r="88" spans="1:21" ht="16">
      <c r="A88" s="2" t="s">
        <v>201</v>
      </c>
      <c r="B88">
        <f t="shared" si="2"/>
        <v>0</v>
      </c>
      <c r="C88">
        <f t="shared" si="3"/>
        <v>0</v>
      </c>
      <c r="D88" s="2"/>
      <c r="H88" t="s">
        <v>282</v>
      </c>
      <c r="R88" s="7" t="s">
        <v>201</v>
      </c>
      <c r="S88" s="9">
        <v>0</v>
      </c>
      <c r="T88" s="9">
        <v>0</v>
      </c>
    </row>
    <row r="89" spans="1:21" ht="16">
      <c r="A89" s="2" t="s">
        <v>202</v>
      </c>
      <c r="B89">
        <f t="shared" si="2"/>
        <v>0</v>
      </c>
      <c r="C89">
        <f t="shared" si="3"/>
        <v>0</v>
      </c>
      <c r="D89" s="2"/>
      <c r="H89" t="s">
        <v>283</v>
      </c>
      <c r="R89" s="7" t="s">
        <v>202</v>
      </c>
      <c r="S89" s="9">
        <v>0</v>
      </c>
      <c r="T89">
        <v>0</v>
      </c>
    </row>
    <row r="90" spans="1:21" ht="16">
      <c r="A90" s="2" t="s">
        <v>203</v>
      </c>
      <c r="B90">
        <f t="shared" si="2"/>
        <v>0</v>
      </c>
      <c r="C90">
        <f t="shared" si="3"/>
        <v>0</v>
      </c>
      <c r="D90" s="2"/>
      <c r="H90" t="s">
        <v>284</v>
      </c>
      <c r="R90" s="7" t="s">
        <v>203</v>
      </c>
      <c r="S90" s="9">
        <v>0</v>
      </c>
      <c r="T90" s="9">
        <v>0</v>
      </c>
    </row>
    <row r="91" spans="1:21" ht="16">
      <c r="A91" t="s">
        <v>184</v>
      </c>
      <c r="B91" t="str">
        <f>S91</f>
        <v>------------------</v>
      </c>
      <c r="C91" t="str">
        <f>T91</f>
        <v>-------------------</v>
      </c>
      <c r="H91" t="s">
        <v>226</v>
      </c>
      <c r="R91" s="7" t="s">
        <v>184</v>
      </c>
      <c r="S91" t="s">
        <v>185</v>
      </c>
      <c r="T91" t="s">
        <v>186</v>
      </c>
    </row>
    <row r="92" spans="1:21" ht="16">
      <c r="B92">
        <f t="shared" ref="B92:B144" si="4">S92</f>
        <v>0</v>
      </c>
      <c r="C92">
        <f t="shared" ref="C92:C144" si="5">T92</f>
        <v>0</v>
      </c>
      <c r="R92" s="7"/>
    </row>
    <row r="93" spans="1:21">
      <c r="A93" t="s">
        <v>180</v>
      </c>
      <c r="B93" t="str">
        <f t="shared" si="4"/>
        <v>uc1 rural [aw=ppop</v>
      </c>
      <c r="C93" t="str">
        <f t="shared" si="5"/>
        <v>wgt], c(mean hitran</v>
      </c>
      <c r="D93" t="s">
        <v>211</v>
      </c>
      <c r="H93" t="s">
        <v>285</v>
      </c>
      <c r="R93" t="s">
        <v>180</v>
      </c>
      <c r="S93" t="s">
        <v>415</v>
      </c>
      <c r="T93" t="s">
        <v>420</v>
      </c>
      <c r="U93" t="s">
        <v>421</v>
      </c>
    </row>
    <row r="94" spans="1:21" ht="16">
      <c r="B94">
        <f t="shared" si="4"/>
        <v>0</v>
      </c>
      <c r="C94">
        <f t="shared" si="5"/>
        <v>0</v>
      </c>
      <c r="R94" s="7"/>
    </row>
    <row r="95" spans="1:21">
      <c r="A95" t="s">
        <v>184</v>
      </c>
      <c r="B95" t="str">
        <f t="shared" si="4"/>
        <v>------------------</v>
      </c>
      <c r="C95" t="str">
        <f t="shared" si="5"/>
        <v>-------------------</v>
      </c>
      <c r="H95" t="s">
        <v>226</v>
      </c>
      <c r="R95" t="s">
        <v>184</v>
      </c>
      <c r="S95" t="s">
        <v>185</v>
      </c>
      <c r="T95" t="s">
        <v>186</v>
      </c>
    </row>
    <row r="96" spans="1:21" ht="16">
      <c r="A96" t="s">
        <v>187</v>
      </c>
      <c r="B96" t="str">
        <f t="shared" si="4"/>
        <v>rura</v>
      </c>
      <c r="C96" t="str">
        <f t="shared" si="5"/>
        <v>l area</v>
      </c>
      <c r="H96" t="s">
        <v>227</v>
      </c>
      <c r="R96" s="7" t="s">
        <v>187</v>
      </c>
      <c r="S96" t="s">
        <v>188</v>
      </c>
      <c r="T96" t="s">
        <v>189</v>
      </c>
    </row>
    <row r="97" spans="1:21" ht="16">
      <c r="A97" t="s">
        <v>190</v>
      </c>
      <c r="B97" t="str">
        <f t="shared" si="4"/>
        <v>[0]not rural area</v>
      </c>
      <c r="C97" t="str">
        <f t="shared" si="5"/>
        <v>[1]rural area</v>
      </c>
      <c r="H97" t="s">
        <v>228</v>
      </c>
      <c r="R97" s="7" t="s">
        <v>190</v>
      </c>
      <c r="S97" t="s">
        <v>191</v>
      </c>
      <c r="T97" t="s">
        <v>192</v>
      </c>
    </row>
    <row r="98" spans="1:21" ht="16">
      <c r="A98" t="s">
        <v>193</v>
      </c>
      <c r="B98" t="str">
        <f t="shared" si="4"/>
        <v>------------------</v>
      </c>
      <c r="C98" t="str">
        <f t="shared" si="5"/>
        <v>-------------------</v>
      </c>
      <c r="H98" t="s">
        <v>229</v>
      </c>
      <c r="R98" s="7" t="s">
        <v>193</v>
      </c>
      <c r="S98" t="s">
        <v>185</v>
      </c>
      <c r="T98" t="s">
        <v>186</v>
      </c>
    </row>
    <row r="99" spans="1:21" ht="16">
      <c r="A99" t="s">
        <v>194</v>
      </c>
      <c r="B99">
        <f t="shared" si="4"/>
        <v>0.34815960000000001</v>
      </c>
      <c r="C99">
        <f t="shared" si="5"/>
        <v>0.1178696</v>
      </c>
      <c r="H99" t="s">
        <v>286</v>
      </c>
      <c r="R99" s="7" t="s">
        <v>194</v>
      </c>
      <c r="S99">
        <v>0.34815960000000001</v>
      </c>
      <c r="T99">
        <v>0.1178696</v>
      </c>
    </row>
    <row r="100" spans="1:21" ht="16">
      <c r="A100" t="s">
        <v>195</v>
      </c>
      <c r="B100">
        <f t="shared" si="4"/>
        <v>0.12518760000000001</v>
      </c>
      <c r="C100">
        <f t="shared" si="5"/>
        <v>8.5516700000000001E-2</v>
      </c>
      <c r="H100" t="s">
        <v>287</v>
      </c>
      <c r="R100" s="7" t="s">
        <v>195</v>
      </c>
      <c r="S100">
        <v>0.12518760000000001</v>
      </c>
      <c r="T100">
        <v>8.5516700000000001E-2</v>
      </c>
    </row>
    <row r="101" spans="1:21" ht="16">
      <c r="A101" t="s">
        <v>196</v>
      </c>
      <c r="B101">
        <f t="shared" si="4"/>
        <v>9.1329900000000006E-2</v>
      </c>
      <c r="C101">
        <f t="shared" si="5"/>
        <v>7.8573000000000004E-2</v>
      </c>
      <c r="H101" t="s">
        <v>288</v>
      </c>
      <c r="R101" s="7" t="s">
        <v>196</v>
      </c>
      <c r="S101">
        <v>9.1329900000000006E-2</v>
      </c>
      <c r="T101">
        <v>7.8573000000000004E-2</v>
      </c>
    </row>
    <row r="102" spans="1:21" ht="16">
      <c r="A102" t="s">
        <v>197</v>
      </c>
      <c r="B102">
        <f t="shared" si="4"/>
        <v>0.1131059</v>
      </c>
      <c r="C102">
        <f t="shared" si="5"/>
        <v>8.2953799999999994E-2</v>
      </c>
      <c r="H102" t="s">
        <v>289</v>
      </c>
      <c r="R102" s="7" t="s">
        <v>197</v>
      </c>
      <c r="S102">
        <v>0.1131059</v>
      </c>
      <c r="T102">
        <v>8.2953799999999994E-2</v>
      </c>
    </row>
    <row r="103" spans="1:21" ht="16">
      <c r="A103" t="s">
        <v>198</v>
      </c>
      <c r="B103">
        <f t="shared" si="4"/>
        <v>8.76778E-2</v>
      </c>
      <c r="C103">
        <f t="shared" si="5"/>
        <v>7.6810900000000001E-2</v>
      </c>
      <c r="H103" t="s">
        <v>290</v>
      </c>
      <c r="R103" s="7" t="s">
        <v>198</v>
      </c>
      <c r="S103">
        <v>8.76778E-2</v>
      </c>
      <c r="T103">
        <v>7.6810900000000001E-2</v>
      </c>
    </row>
    <row r="104" spans="1:21" ht="16">
      <c r="A104" t="s">
        <v>199</v>
      </c>
      <c r="B104">
        <f t="shared" si="4"/>
        <v>0.1035283</v>
      </c>
      <c r="C104">
        <f t="shared" si="5"/>
        <v>9.0357999999999994E-2</v>
      </c>
      <c r="H104" t="s">
        <v>291</v>
      </c>
      <c r="R104" s="7" t="s">
        <v>199</v>
      </c>
      <c r="S104">
        <v>0.1035283</v>
      </c>
      <c r="T104">
        <v>9.0357999999999994E-2</v>
      </c>
    </row>
    <row r="105" spans="1:21" ht="16">
      <c r="A105" t="s">
        <v>200</v>
      </c>
      <c r="B105">
        <f t="shared" si="4"/>
        <v>7.9115699999999997E-2</v>
      </c>
      <c r="C105">
        <f t="shared" si="5"/>
        <v>9.37833E-2</v>
      </c>
      <c r="H105" t="s">
        <v>292</v>
      </c>
      <c r="R105" s="7" t="s">
        <v>200</v>
      </c>
      <c r="S105">
        <v>7.9115699999999997E-2</v>
      </c>
      <c r="T105">
        <v>9.37833E-2</v>
      </c>
    </row>
    <row r="106" spans="1:21" ht="16">
      <c r="A106" t="s">
        <v>201</v>
      </c>
      <c r="B106">
        <f t="shared" si="4"/>
        <v>7.6204300000000003E-2</v>
      </c>
      <c r="C106">
        <f t="shared" si="5"/>
        <v>7.7917700000000006E-2</v>
      </c>
      <c r="H106" t="s">
        <v>293</v>
      </c>
      <c r="R106" s="7" t="s">
        <v>201</v>
      </c>
      <c r="S106">
        <v>7.6204300000000003E-2</v>
      </c>
      <c r="T106">
        <v>7.7917700000000006E-2</v>
      </c>
    </row>
    <row r="107" spans="1:21" ht="16">
      <c r="A107" t="s">
        <v>202</v>
      </c>
      <c r="B107">
        <f t="shared" si="4"/>
        <v>0.1060537</v>
      </c>
      <c r="C107">
        <f t="shared" si="5"/>
        <v>6.9898399999999999E-2</v>
      </c>
      <c r="H107" t="s">
        <v>294</v>
      </c>
      <c r="R107" s="7" t="s">
        <v>202</v>
      </c>
      <c r="S107">
        <v>0.1060537</v>
      </c>
      <c r="T107">
        <v>6.9898399999999999E-2</v>
      </c>
    </row>
    <row r="108" spans="1:21" ht="16">
      <c r="A108" t="s">
        <v>203</v>
      </c>
      <c r="B108">
        <f t="shared" si="4"/>
        <v>0.1464819</v>
      </c>
      <c r="C108">
        <f t="shared" si="5"/>
        <v>7.3788199999999998E-2</v>
      </c>
      <c r="H108" t="s">
        <v>295</v>
      </c>
      <c r="R108" s="7" t="s">
        <v>203</v>
      </c>
      <c r="S108">
        <v>0.1464819</v>
      </c>
      <c r="T108">
        <v>7.3788199999999998E-2</v>
      </c>
    </row>
    <row r="109" spans="1:21" ht="16">
      <c r="A109" t="s">
        <v>184</v>
      </c>
      <c r="B109" t="str">
        <f t="shared" si="4"/>
        <v>------------------</v>
      </c>
      <c r="C109" t="str">
        <f t="shared" si="5"/>
        <v>-------------------</v>
      </c>
      <c r="H109" t="s">
        <v>226</v>
      </c>
      <c r="R109" s="7" t="s">
        <v>184</v>
      </c>
      <c r="S109" t="s">
        <v>185</v>
      </c>
      <c r="T109" t="s">
        <v>186</v>
      </c>
    </row>
    <row r="110" spans="1:21" ht="16">
      <c r="B110">
        <f t="shared" si="4"/>
        <v>0</v>
      </c>
      <c r="C110">
        <f t="shared" si="5"/>
        <v>0</v>
      </c>
      <c r="R110" s="7"/>
    </row>
    <row r="111" spans="1:21">
      <c r="A111" t="s">
        <v>180</v>
      </c>
      <c r="B111" t="str">
        <f t="shared" si="4"/>
        <v>uc1 rural [aw=ppop</v>
      </c>
      <c r="C111" t="str">
        <f t="shared" si="5"/>
        <v>wgt], c(mean hilabo</v>
      </c>
      <c r="D111" t="s">
        <v>212</v>
      </c>
      <c r="H111" t="s">
        <v>296</v>
      </c>
      <c r="R111" t="s">
        <v>180</v>
      </c>
      <c r="S111" t="s">
        <v>415</v>
      </c>
      <c r="T111" t="s">
        <v>422</v>
      </c>
      <c r="U111" t="s">
        <v>423</v>
      </c>
    </row>
    <row r="112" spans="1:21" ht="16">
      <c r="B112">
        <f t="shared" si="4"/>
        <v>0</v>
      </c>
      <c r="C112">
        <f t="shared" si="5"/>
        <v>0</v>
      </c>
      <c r="R112" s="7"/>
    </row>
    <row r="113" spans="1:20">
      <c r="A113" t="s">
        <v>184</v>
      </c>
      <c r="B113" t="str">
        <f t="shared" si="4"/>
        <v>------------------</v>
      </c>
      <c r="C113" t="str">
        <f t="shared" si="5"/>
        <v>-------------------</v>
      </c>
      <c r="H113" t="s">
        <v>226</v>
      </c>
      <c r="R113" t="s">
        <v>184</v>
      </c>
      <c r="S113" t="s">
        <v>185</v>
      </c>
      <c r="T113" t="s">
        <v>186</v>
      </c>
    </row>
    <row r="114" spans="1:20" ht="16">
      <c r="A114" t="s">
        <v>187</v>
      </c>
      <c r="B114" t="str">
        <f t="shared" si="4"/>
        <v>rura</v>
      </c>
      <c r="C114" t="str">
        <f t="shared" si="5"/>
        <v>l area</v>
      </c>
      <c r="H114" t="s">
        <v>227</v>
      </c>
      <c r="R114" s="7" t="s">
        <v>187</v>
      </c>
      <c r="S114" t="s">
        <v>188</v>
      </c>
      <c r="T114" t="s">
        <v>189</v>
      </c>
    </row>
    <row r="115" spans="1:20" ht="16">
      <c r="A115" t="s">
        <v>190</v>
      </c>
      <c r="B115" t="str">
        <f t="shared" si="4"/>
        <v>[0]not rural area</v>
      </c>
      <c r="C115" t="str">
        <f t="shared" si="5"/>
        <v>[1]rural area</v>
      </c>
      <c r="H115" t="s">
        <v>228</v>
      </c>
      <c r="R115" s="7" t="s">
        <v>190</v>
      </c>
      <c r="S115" t="s">
        <v>191</v>
      </c>
      <c r="T115" t="s">
        <v>192</v>
      </c>
    </row>
    <row r="116" spans="1:20" ht="16">
      <c r="A116" t="s">
        <v>193</v>
      </c>
      <c r="B116" t="str">
        <f t="shared" si="4"/>
        <v>------------------</v>
      </c>
      <c r="C116" t="str">
        <f t="shared" si="5"/>
        <v>-------------------</v>
      </c>
      <c r="H116" t="s">
        <v>229</v>
      </c>
      <c r="R116" s="7" t="s">
        <v>193</v>
      </c>
      <c r="S116" t="s">
        <v>185</v>
      </c>
      <c r="T116" t="s">
        <v>186</v>
      </c>
    </row>
    <row r="117" spans="1:20" ht="16">
      <c r="A117" t="s">
        <v>194</v>
      </c>
      <c r="B117">
        <f t="shared" si="4"/>
        <v>0.65184039999999999</v>
      </c>
      <c r="C117">
        <f t="shared" si="5"/>
        <v>0.88111870000000003</v>
      </c>
      <c r="H117" t="s">
        <v>297</v>
      </c>
      <c r="R117" s="7" t="s">
        <v>194</v>
      </c>
      <c r="S117">
        <v>0.65184039999999999</v>
      </c>
      <c r="T117">
        <v>0.88111870000000003</v>
      </c>
    </row>
    <row r="118" spans="1:20" ht="16">
      <c r="A118" t="s">
        <v>195</v>
      </c>
      <c r="B118">
        <f t="shared" si="4"/>
        <v>0.86946950000000001</v>
      </c>
      <c r="C118">
        <f t="shared" si="5"/>
        <v>0.914049</v>
      </c>
      <c r="H118" t="s">
        <v>298</v>
      </c>
      <c r="R118" s="7" t="s">
        <v>195</v>
      </c>
      <c r="S118">
        <v>0.86946950000000001</v>
      </c>
      <c r="T118">
        <v>0.914049</v>
      </c>
    </row>
    <row r="119" spans="1:20" ht="16">
      <c r="A119" t="s">
        <v>196</v>
      </c>
      <c r="B119">
        <f t="shared" si="4"/>
        <v>0.90663389999999999</v>
      </c>
      <c r="C119">
        <f t="shared" si="5"/>
        <v>0.92078360000000004</v>
      </c>
      <c r="H119" t="s">
        <v>299</v>
      </c>
      <c r="R119" s="7" t="s">
        <v>196</v>
      </c>
      <c r="S119">
        <v>0.90663389999999999</v>
      </c>
      <c r="T119">
        <v>0.92078360000000004</v>
      </c>
    </row>
    <row r="120" spans="1:20" ht="16">
      <c r="A120" t="s">
        <v>197</v>
      </c>
      <c r="B120">
        <f t="shared" si="4"/>
        <v>0.88180709999999995</v>
      </c>
      <c r="C120">
        <f t="shared" si="5"/>
        <v>0.91193100000000005</v>
      </c>
      <c r="H120" t="s">
        <v>300</v>
      </c>
      <c r="R120" s="7" t="s">
        <v>197</v>
      </c>
      <c r="S120">
        <v>0.88180709999999995</v>
      </c>
      <c r="T120">
        <v>0.91193100000000005</v>
      </c>
    </row>
    <row r="121" spans="1:20" ht="16">
      <c r="A121" t="s">
        <v>198</v>
      </c>
      <c r="B121">
        <f t="shared" si="4"/>
        <v>0.90508750000000004</v>
      </c>
      <c r="C121">
        <f t="shared" si="5"/>
        <v>0.92133770000000004</v>
      </c>
      <c r="H121" t="s">
        <v>301</v>
      </c>
      <c r="R121" s="7" t="s">
        <v>198</v>
      </c>
      <c r="S121">
        <v>0.90508750000000004</v>
      </c>
      <c r="T121">
        <v>0.92133770000000004</v>
      </c>
    </row>
    <row r="122" spans="1:20" ht="16">
      <c r="A122" t="s">
        <v>199</v>
      </c>
      <c r="B122">
        <f t="shared" si="4"/>
        <v>0.88505710000000004</v>
      </c>
      <c r="C122">
        <f t="shared" si="5"/>
        <v>0.90595409999999998</v>
      </c>
      <c r="H122" t="s">
        <v>302</v>
      </c>
      <c r="R122" s="7" t="s">
        <v>199</v>
      </c>
      <c r="S122">
        <v>0.88505710000000004</v>
      </c>
      <c r="T122">
        <v>0.90595409999999998</v>
      </c>
    </row>
    <row r="123" spans="1:20" ht="16">
      <c r="A123" t="s">
        <v>200</v>
      </c>
      <c r="B123">
        <f t="shared" si="4"/>
        <v>0.90656040000000004</v>
      </c>
      <c r="C123">
        <f t="shared" si="5"/>
        <v>0.89440629999999999</v>
      </c>
      <c r="H123" t="s">
        <v>303</v>
      </c>
      <c r="R123" s="7" t="s">
        <v>200</v>
      </c>
      <c r="S123">
        <v>0.90656040000000004</v>
      </c>
      <c r="T123">
        <v>0.89440629999999999</v>
      </c>
    </row>
    <row r="124" spans="1:20" ht="16">
      <c r="A124" t="s">
        <v>201</v>
      </c>
      <c r="B124">
        <f t="shared" si="4"/>
        <v>0.91103829999999997</v>
      </c>
      <c r="C124">
        <f t="shared" si="5"/>
        <v>0.90828209999999998</v>
      </c>
      <c r="H124" t="s">
        <v>304</v>
      </c>
      <c r="R124" s="7" t="s">
        <v>201</v>
      </c>
      <c r="S124">
        <v>0.91103829999999997</v>
      </c>
      <c r="T124">
        <v>0.90828209999999998</v>
      </c>
    </row>
    <row r="125" spans="1:20" ht="16">
      <c r="A125" t="s">
        <v>202</v>
      </c>
      <c r="B125">
        <f t="shared" si="4"/>
        <v>0.87542719999999996</v>
      </c>
      <c r="C125">
        <f t="shared" si="5"/>
        <v>0.91876429999999998</v>
      </c>
      <c r="H125" t="s">
        <v>305</v>
      </c>
      <c r="R125" s="7" t="s">
        <v>202</v>
      </c>
      <c r="S125">
        <v>0.87542719999999996</v>
      </c>
      <c r="T125">
        <v>0.91876429999999998</v>
      </c>
    </row>
    <row r="126" spans="1:20" ht="16">
      <c r="A126" t="s">
        <v>203</v>
      </c>
      <c r="B126">
        <f t="shared" si="4"/>
        <v>0.81233960000000005</v>
      </c>
      <c r="C126">
        <f t="shared" si="5"/>
        <v>0.91720860000000004</v>
      </c>
      <c r="H126" t="s">
        <v>306</v>
      </c>
      <c r="R126" s="7" t="s">
        <v>203</v>
      </c>
      <c r="S126">
        <v>0.81233960000000005</v>
      </c>
      <c r="T126">
        <v>0.91720860000000004</v>
      </c>
    </row>
    <row r="127" spans="1:20" ht="16">
      <c r="A127" t="s">
        <v>184</v>
      </c>
      <c r="B127" t="str">
        <f t="shared" si="4"/>
        <v>------------------</v>
      </c>
      <c r="C127" t="str">
        <f t="shared" si="5"/>
        <v>-------------------</v>
      </c>
      <c r="H127" t="s">
        <v>226</v>
      </c>
      <c r="R127" s="7" t="s">
        <v>184</v>
      </c>
      <c r="S127" t="s">
        <v>185</v>
      </c>
      <c r="T127" t="s">
        <v>186</v>
      </c>
    </row>
    <row r="128" spans="1:20" ht="16">
      <c r="B128">
        <f t="shared" si="4"/>
        <v>0</v>
      </c>
      <c r="C128">
        <f t="shared" si="5"/>
        <v>0</v>
      </c>
      <c r="R128" s="7"/>
    </row>
    <row r="129" spans="1:21">
      <c r="A129" t="s">
        <v>180</v>
      </c>
      <c r="B129" t="str">
        <f t="shared" si="4"/>
        <v>uc1 rural [aw=ppop</v>
      </c>
      <c r="C129" t="str">
        <f t="shared" si="5"/>
        <v>wgt], c(mean hicapi</v>
      </c>
      <c r="D129" t="s">
        <v>213</v>
      </c>
      <c r="H129" t="s">
        <v>307</v>
      </c>
      <c r="R129" t="s">
        <v>180</v>
      </c>
      <c r="S129" t="s">
        <v>415</v>
      </c>
      <c r="T129" t="s">
        <v>424</v>
      </c>
      <c r="U129" t="s">
        <v>425</v>
      </c>
    </row>
    <row r="130" spans="1:21" ht="16">
      <c r="B130">
        <f t="shared" si="4"/>
        <v>0</v>
      </c>
      <c r="C130">
        <f t="shared" si="5"/>
        <v>0</v>
      </c>
      <c r="R130" s="7"/>
    </row>
    <row r="131" spans="1:21">
      <c r="A131" t="s">
        <v>184</v>
      </c>
      <c r="B131" t="str">
        <f t="shared" si="4"/>
        <v>------------------</v>
      </c>
      <c r="C131" t="str">
        <f t="shared" si="5"/>
        <v>-------------------</v>
      </c>
      <c r="H131" t="s">
        <v>226</v>
      </c>
      <c r="R131" t="s">
        <v>184</v>
      </c>
      <c r="S131" t="s">
        <v>185</v>
      </c>
      <c r="T131" t="s">
        <v>186</v>
      </c>
    </row>
    <row r="132" spans="1:21" ht="16">
      <c r="A132" t="s">
        <v>187</v>
      </c>
      <c r="B132" t="str">
        <f t="shared" si="4"/>
        <v>rura</v>
      </c>
      <c r="C132" t="str">
        <f t="shared" si="5"/>
        <v>l area</v>
      </c>
      <c r="H132" t="s">
        <v>227</v>
      </c>
      <c r="R132" s="7" t="s">
        <v>187</v>
      </c>
      <c r="S132" t="s">
        <v>188</v>
      </c>
      <c r="T132" t="s">
        <v>189</v>
      </c>
    </row>
    <row r="133" spans="1:21" ht="16">
      <c r="A133" t="s">
        <v>190</v>
      </c>
      <c r="B133" t="str">
        <f t="shared" si="4"/>
        <v>[0]not rural area</v>
      </c>
      <c r="C133" t="str">
        <f t="shared" si="5"/>
        <v>[1]rural area</v>
      </c>
      <c r="H133" t="s">
        <v>228</v>
      </c>
      <c r="R133" s="7" t="s">
        <v>190</v>
      </c>
      <c r="S133" t="s">
        <v>191</v>
      </c>
      <c r="T133" t="s">
        <v>192</v>
      </c>
    </row>
    <row r="134" spans="1:21" ht="16">
      <c r="A134" t="s">
        <v>193</v>
      </c>
      <c r="B134" t="str">
        <f t="shared" si="4"/>
        <v>------------------</v>
      </c>
      <c r="C134" t="str">
        <f t="shared" si="5"/>
        <v>-------------------</v>
      </c>
      <c r="H134" t="s">
        <v>229</v>
      </c>
      <c r="R134" s="7" t="s">
        <v>193</v>
      </c>
      <c r="S134" t="s">
        <v>185</v>
      </c>
      <c r="T134" t="s">
        <v>186</v>
      </c>
    </row>
    <row r="135" spans="1:21" ht="16">
      <c r="A135" t="s">
        <v>194</v>
      </c>
      <c r="B135">
        <f t="shared" si="4"/>
        <v>0</v>
      </c>
      <c r="C135">
        <f t="shared" si="5"/>
        <v>1.0116999999999999E-3</v>
      </c>
      <c r="H135" t="s">
        <v>308</v>
      </c>
      <c r="R135" s="7" t="s">
        <v>194</v>
      </c>
      <c r="S135">
        <v>0</v>
      </c>
      <c r="T135">
        <v>1.0116999999999999E-3</v>
      </c>
    </row>
    <row r="136" spans="1:21" ht="16">
      <c r="A136" t="s">
        <v>195</v>
      </c>
      <c r="B136">
        <f t="shared" si="4"/>
        <v>5.3428E-3</v>
      </c>
      <c r="C136">
        <f t="shared" si="5"/>
        <v>4.3419999999999998E-4</v>
      </c>
      <c r="H136" t="s">
        <v>309</v>
      </c>
      <c r="R136" s="7" t="s">
        <v>195</v>
      </c>
      <c r="S136">
        <v>5.3428E-3</v>
      </c>
      <c r="T136">
        <v>4.3419999999999998E-4</v>
      </c>
    </row>
    <row r="137" spans="1:21" ht="16">
      <c r="A137" t="s">
        <v>196</v>
      </c>
      <c r="B137">
        <f t="shared" si="4"/>
        <v>2.0362000000000002E-3</v>
      </c>
      <c r="C137">
        <f t="shared" si="5"/>
        <v>6.4340000000000003E-4</v>
      </c>
      <c r="H137" t="s">
        <v>310</v>
      </c>
      <c r="R137" s="7" t="s">
        <v>196</v>
      </c>
      <c r="S137">
        <v>2.0362000000000002E-3</v>
      </c>
      <c r="T137">
        <v>6.4340000000000003E-4</v>
      </c>
    </row>
    <row r="138" spans="1:21" ht="16">
      <c r="A138" t="s">
        <v>197</v>
      </c>
      <c r="B138">
        <f t="shared" si="4"/>
        <v>5.0870000000000004E-3</v>
      </c>
      <c r="C138">
        <f t="shared" si="5"/>
        <v>5.1152000000000003E-3</v>
      </c>
      <c r="H138" t="s">
        <v>311</v>
      </c>
      <c r="R138" s="7" t="s">
        <v>197</v>
      </c>
      <c r="S138">
        <v>5.0870000000000004E-3</v>
      </c>
      <c r="T138">
        <v>5.1152000000000003E-3</v>
      </c>
    </row>
    <row r="139" spans="1:21" ht="16">
      <c r="A139" t="s">
        <v>198</v>
      </c>
      <c r="B139">
        <f t="shared" si="4"/>
        <v>7.2347000000000002E-3</v>
      </c>
      <c r="C139">
        <f t="shared" si="5"/>
        <v>1.8514E-3</v>
      </c>
      <c r="H139" t="s">
        <v>312</v>
      </c>
      <c r="R139" s="7" t="s">
        <v>198</v>
      </c>
      <c r="S139">
        <v>7.2347000000000002E-3</v>
      </c>
      <c r="T139">
        <v>1.8514E-3</v>
      </c>
    </row>
    <row r="140" spans="1:21" ht="16">
      <c r="A140" t="s">
        <v>199</v>
      </c>
      <c r="B140">
        <f t="shared" si="4"/>
        <v>1.14146E-2</v>
      </c>
      <c r="C140">
        <f t="shared" si="5"/>
        <v>3.6879E-3</v>
      </c>
      <c r="H140" t="s">
        <v>313</v>
      </c>
      <c r="R140" s="7" t="s">
        <v>199</v>
      </c>
      <c r="S140">
        <v>1.14146E-2</v>
      </c>
      <c r="T140">
        <v>3.6879E-3</v>
      </c>
    </row>
    <row r="141" spans="1:21" ht="16">
      <c r="A141" t="s">
        <v>200</v>
      </c>
      <c r="B141">
        <f t="shared" si="4"/>
        <v>1.4323900000000001E-2</v>
      </c>
      <c r="C141">
        <f t="shared" si="5"/>
        <v>1.18104E-2</v>
      </c>
      <c r="H141" t="s">
        <v>314</v>
      </c>
      <c r="R141" s="7" t="s">
        <v>200</v>
      </c>
      <c r="S141">
        <v>1.4323900000000001E-2</v>
      </c>
      <c r="T141">
        <v>1.18104E-2</v>
      </c>
    </row>
    <row r="142" spans="1:21" ht="16">
      <c r="A142" t="s">
        <v>201</v>
      </c>
      <c r="B142">
        <f t="shared" si="4"/>
        <v>1.27574E-2</v>
      </c>
      <c r="C142">
        <f t="shared" si="5"/>
        <v>1.38002E-2</v>
      </c>
      <c r="H142" t="s">
        <v>315</v>
      </c>
      <c r="R142" s="7" t="s">
        <v>201</v>
      </c>
      <c r="S142">
        <v>1.27574E-2</v>
      </c>
      <c r="T142">
        <v>1.38002E-2</v>
      </c>
    </row>
    <row r="143" spans="1:21" ht="16">
      <c r="A143" t="s">
        <v>202</v>
      </c>
      <c r="B143">
        <f t="shared" si="4"/>
        <v>1.85191E-2</v>
      </c>
      <c r="C143">
        <f t="shared" si="5"/>
        <v>1.13373E-2</v>
      </c>
      <c r="H143" t="s">
        <v>316</v>
      </c>
      <c r="R143" s="7" t="s">
        <v>202</v>
      </c>
      <c r="S143">
        <v>1.85191E-2</v>
      </c>
      <c r="T143">
        <v>1.13373E-2</v>
      </c>
    </row>
    <row r="144" spans="1:21" ht="16">
      <c r="A144" t="s">
        <v>203</v>
      </c>
      <c r="B144">
        <f t="shared" si="4"/>
        <v>4.11785E-2</v>
      </c>
      <c r="C144">
        <f t="shared" si="5"/>
        <v>9.0031999999999994E-3</v>
      </c>
      <c r="H144" t="s">
        <v>317</v>
      </c>
      <c r="R144" s="7" t="s">
        <v>203</v>
      </c>
      <c r="S144">
        <v>4.11785E-2</v>
      </c>
      <c r="T144">
        <v>9.0031999999999994E-3</v>
      </c>
    </row>
    <row r="145" spans="1:21" ht="16">
      <c r="A145" t="s">
        <v>184</v>
      </c>
      <c r="B145" t="s">
        <v>185</v>
      </c>
      <c r="C145" t="s">
        <v>186</v>
      </c>
      <c r="H145" t="s">
        <v>226</v>
      </c>
      <c r="R145" s="7" t="s">
        <v>184</v>
      </c>
      <c r="S145" t="s">
        <v>185</v>
      </c>
      <c r="T145" t="s">
        <v>186</v>
      </c>
    </row>
    <row r="146" spans="1:21" ht="16">
      <c r="R146" s="7"/>
    </row>
    <row r="147" spans="1:21">
      <c r="A147" t="s">
        <v>376</v>
      </c>
      <c r="B147" t="s">
        <v>214</v>
      </c>
      <c r="H147" t="s">
        <v>318</v>
      </c>
      <c r="R147" t="s">
        <v>426</v>
      </c>
      <c r="S147" t="s">
        <v>214</v>
      </c>
    </row>
    <row r="148" spans="1:21" ht="16">
      <c r="H148" t="s">
        <v>378</v>
      </c>
      <c r="R148" s="7" t="s">
        <v>180</v>
      </c>
      <c r="S148" t="s">
        <v>415</v>
      </c>
      <c r="T148" t="s">
        <v>427</v>
      </c>
      <c r="U148" t="s">
        <v>428</v>
      </c>
    </row>
    <row r="150" spans="1:21" ht="16">
      <c r="H150" t="s">
        <v>226</v>
      </c>
      <c r="R150" s="7" t="s">
        <v>184</v>
      </c>
      <c r="S150" t="s">
        <v>185</v>
      </c>
      <c r="T150" t="s">
        <v>186</v>
      </c>
    </row>
    <row r="151" spans="1:21" ht="16">
      <c r="H151" t="s">
        <v>227</v>
      </c>
      <c r="R151" s="7" t="s">
        <v>187</v>
      </c>
      <c r="S151" t="s">
        <v>188</v>
      </c>
      <c r="T151" t="s">
        <v>189</v>
      </c>
    </row>
    <row r="152" spans="1:21" ht="16">
      <c r="H152" t="s">
        <v>228</v>
      </c>
      <c r="R152" s="7" t="s">
        <v>190</v>
      </c>
      <c r="S152" t="s">
        <v>191</v>
      </c>
      <c r="T152" t="s">
        <v>192</v>
      </c>
    </row>
    <row r="153" spans="1:21" ht="16">
      <c r="H153" t="s">
        <v>229</v>
      </c>
      <c r="R153" s="7" t="s">
        <v>193</v>
      </c>
      <c r="S153" t="s">
        <v>185</v>
      </c>
      <c r="T153" t="s">
        <v>186</v>
      </c>
    </row>
    <row r="154" spans="1:21" ht="16">
      <c r="B154">
        <f>S154</f>
        <v>-52.817689999999999</v>
      </c>
      <c r="C154">
        <f>T154</f>
        <v>-5.4128780000000001</v>
      </c>
      <c r="H154" t="s">
        <v>379</v>
      </c>
      <c r="R154" s="7" t="s">
        <v>194</v>
      </c>
      <c r="S154">
        <v>-52.817689999999999</v>
      </c>
      <c r="T154">
        <v>-5.4128780000000001</v>
      </c>
    </row>
    <row r="155" spans="1:21" ht="16">
      <c r="B155">
        <f t="shared" ref="B155:B163" si="6">S155</f>
        <v>-1.251458</v>
      </c>
      <c r="C155">
        <f t="shared" ref="C155:C163" si="7">T155</f>
        <v>-0.72949799999999998</v>
      </c>
      <c r="H155" t="s">
        <v>380</v>
      </c>
      <c r="R155" s="7" t="s">
        <v>195</v>
      </c>
      <c r="S155">
        <v>-1.251458</v>
      </c>
      <c r="T155">
        <v>-0.72949799999999998</v>
      </c>
    </row>
    <row r="156" spans="1:21" ht="16">
      <c r="B156">
        <f t="shared" si="6"/>
        <v>-0.93073689999999998</v>
      </c>
      <c r="C156">
        <f t="shared" si="7"/>
        <v>-0.22867299999999999</v>
      </c>
      <c r="H156" t="s">
        <v>381</v>
      </c>
      <c r="R156" s="7" t="s">
        <v>196</v>
      </c>
      <c r="S156">
        <v>-0.93073689999999998</v>
      </c>
      <c r="T156">
        <v>-0.22867299999999999</v>
      </c>
    </row>
    <row r="157" spans="1:21" ht="16">
      <c r="B157">
        <f t="shared" si="6"/>
        <v>-0.78119400000000006</v>
      </c>
      <c r="C157">
        <f t="shared" si="7"/>
        <v>-8.3699200000000001E-2</v>
      </c>
      <c r="H157" t="s">
        <v>382</v>
      </c>
      <c r="R157" s="7" t="s">
        <v>197</v>
      </c>
      <c r="S157">
        <v>-0.78119400000000006</v>
      </c>
      <c r="T157">
        <v>-8.3699200000000001E-2</v>
      </c>
    </row>
    <row r="158" spans="1:21" ht="16">
      <c r="B158">
        <f t="shared" si="6"/>
        <v>-0.50056630000000002</v>
      </c>
      <c r="C158">
        <f t="shared" si="7"/>
        <v>1.4277400000000001E-2</v>
      </c>
      <c r="H158" t="s">
        <v>383</v>
      </c>
      <c r="R158" s="7" t="s">
        <v>198</v>
      </c>
      <c r="S158">
        <v>-0.50056630000000002</v>
      </c>
      <c r="T158">
        <v>1.4277400000000001E-2</v>
      </c>
    </row>
    <row r="159" spans="1:21" ht="16">
      <c r="B159">
        <f t="shared" si="6"/>
        <v>-0.4966564</v>
      </c>
      <c r="C159">
        <f t="shared" si="7"/>
        <v>0.1580704</v>
      </c>
      <c r="H159" t="s">
        <v>384</v>
      </c>
      <c r="R159" s="7" t="s">
        <v>199</v>
      </c>
      <c r="S159">
        <v>-0.4966564</v>
      </c>
      <c r="T159">
        <v>0.1580704</v>
      </c>
    </row>
    <row r="160" spans="1:21" ht="16">
      <c r="B160">
        <f t="shared" si="6"/>
        <v>-0.25267899999999999</v>
      </c>
      <c r="C160">
        <f t="shared" si="7"/>
        <v>0.2120522</v>
      </c>
      <c r="H160" t="s">
        <v>385</v>
      </c>
      <c r="R160" s="7" t="s">
        <v>200</v>
      </c>
      <c r="S160">
        <v>-0.25267899999999999</v>
      </c>
      <c r="T160">
        <v>0.2120522</v>
      </c>
    </row>
    <row r="161" spans="1:25" ht="16">
      <c r="B161">
        <f t="shared" si="6"/>
        <v>-0.2183117</v>
      </c>
      <c r="C161">
        <f t="shared" si="7"/>
        <v>0.26304339999999998</v>
      </c>
      <c r="H161" t="s">
        <v>386</v>
      </c>
      <c r="R161" s="7" t="s">
        <v>201</v>
      </c>
      <c r="S161">
        <v>-0.2183117</v>
      </c>
      <c r="T161">
        <v>0.26304339999999998</v>
      </c>
    </row>
    <row r="162" spans="1:25" ht="16">
      <c r="B162">
        <f t="shared" si="6"/>
        <v>-0.1421713</v>
      </c>
      <c r="C162">
        <f t="shared" si="7"/>
        <v>0.3213511</v>
      </c>
      <c r="H162" t="s">
        <v>387</v>
      </c>
      <c r="R162" s="7" t="s">
        <v>202</v>
      </c>
      <c r="S162">
        <v>-0.1421713</v>
      </c>
      <c r="T162">
        <v>0.3213511</v>
      </c>
    </row>
    <row r="163" spans="1:25" ht="16">
      <c r="B163">
        <f t="shared" si="6"/>
        <v>-5.4568999999999998E-3</v>
      </c>
      <c r="C163">
        <f t="shared" si="7"/>
        <v>0.32962930000000001</v>
      </c>
      <c r="H163" t="s">
        <v>388</v>
      </c>
      <c r="R163" s="7" t="s">
        <v>203</v>
      </c>
      <c r="S163">
        <v>-5.4568999999999998E-3</v>
      </c>
      <c r="T163">
        <v>0.32962930000000001</v>
      </c>
    </row>
    <row r="164" spans="1:25" ht="16">
      <c r="H164" t="s">
        <v>226</v>
      </c>
      <c r="R164" s="7" t="s">
        <v>184</v>
      </c>
      <c r="S164" t="s">
        <v>185</v>
      </c>
      <c r="T164" t="s">
        <v>186</v>
      </c>
    </row>
    <row r="165" spans="1:25">
      <c r="R165" s="2"/>
      <c r="S165" s="2"/>
      <c r="T165" s="2"/>
      <c r="U165" s="2"/>
      <c r="V165" s="2"/>
      <c r="W165" s="2"/>
      <c r="X165" s="2"/>
      <c r="Y165" s="2"/>
    </row>
    <row r="166" spans="1:25" ht="16">
      <c r="H166" t="s">
        <v>319</v>
      </c>
      <c r="R166" s="8" t="s">
        <v>429</v>
      </c>
      <c r="S166" s="2" t="s">
        <v>430</v>
      </c>
      <c r="T166" s="2" t="s">
        <v>431</v>
      </c>
      <c r="U166" s="2"/>
      <c r="V166" s="2"/>
      <c r="W166" s="2"/>
      <c r="X166" s="2"/>
      <c r="Y166" s="2"/>
    </row>
    <row r="167" spans="1:25">
      <c r="A167" t="s">
        <v>180</v>
      </c>
      <c r="B167" t="s">
        <v>181</v>
      </c>
      <c r="C167" t="s">
        <v>215</v>
      </c>
      <c r="D167" t="s">
        <v>216</v>
      </c>
      <c r="H167" t="s">
        <v>320</v>
      </c>
      <c r="R167" s="2" t="s">
        <v>180</v>
      </c>
      <c r="S167" s="2" t="s">
        <v>415</v>
      </c>
      <c r="T167" s="2" t="s">
        <v>215</v>
      </c>
      <c r="U167" s="2" t="s">
        <v>216</v>
      </c>
      <c r="V167" s="2"/>
      <c r="W167" s="2"/>
      <c r="X167" s="2"/>
      <c r="Y167" s="2"/>
    </row>
    <row r="168" spans="1:25" ht="16">
      <c r="R168" s="8"/>
      <c r="S168" s="2"/>
      <c r="T168" s="2"/>
      <c r="U168" s="2"/>
      <c r="V168" s="2"/>
      <c r="W168" s="2"/>
      <c r="X168" s="2"/>
      <c r="Y168" s="2"/>
    </row>
    <row r="169" spans="1:25" ht="16">
      <c r="A169" t="s">
        <v>184</v>
      </c>
      <c r="B169" t="s">
        <v>185</v>
      </c>
      <c r="C169" t="s">
        <v>186</v>
      </c>
      <c r="H169" t="s">
        <v>226</v>
      </c>
      <c r="R169" s="8" t="s">
        <v>184</v>
      </c>
      <c r="S169" s="2" t="s">
        <v>185</v>
      </c>
      <c r="T169" s="2" t="s">
        <v>186</v>
      </c>
      <c r="U169" s="2"/>
      <c r="V169" s="2"/>
      <c r="W169" s="2"/>
      <c r="X169" s="2"/>
      <c r="Y169" s="2"/>
    </row>
    <row r="170" spans="1:25" ht="16">
      <c r="A170" t="s">
        <v>187</v>
      </c>
      <c r="B170" t="s">
        <v>188</v>
      </c>
      <c r="C170" t="s">
        <v>189</v>
      </c>
      <c r="H170" t="s">
        <v>227</v>
      </c>
      <c r="R170" s="8" t="s">
        <v>187</v>
      </c>
      <c r="S170" s="2" t="s">
        <v>188</v>
      </c>
      <c r="T170" s="2" t="s">
        <v>189</v>
      </c>
      <c r="U170" s="2"/>
      <c r="V170" s="2"/>
      <c r="W170" s="2"/>
      <c r="X170" s="2"/>
      <c r="Y170" s="2"/>
    </row>
    <row r="171" spans="1:25" ht="16">
      <c r="A171" t="s">
        <v>190</v>
      </c>
      <c r="B171" t="s">
        <v>191</v>
      </c>
      <c r="C171" t="s">
        <v>192</v>
      </c>
      <c r="H171" t="s">
        <v>228</v>
      </c>
      <c r="R171" s="8" t="s">
        <v>190</v>
      </c>
      <c r="S171" s="2" t="s">
        <v>191</v>
      </c>
      <c r="T171" s="2" t="s">
        <v>192</v>
      </c>
      <c r="U171" s="2"/>
      <c r="V171" s="2"/>
      <c r="W171" s="2"/>
      <c r="X171" s="2"/>
      <c r="Y171" s="2"/>
    </row>
    <row r="172" spans="1:25" ht="16">
      <c r="A172" t="s">
        <v>193</v>
      </c>
      <c r="B172" t="s">
        <v>185</v>
      </c>
      <c r="C172" t="s">
        <v>186</v>
      </c>
      <c r="H172" t="s">
        <v>229</v>
      </c>
      <c r="R172" s="8" t="s">
        <v>193</v>
      </c>
      <c r="S172" s="2" t="s">
        <v>185</v>
      </c>
      <c r="T172" s="2" t="s">
        <v>186</v>
      </c>
      <c r="U172" s="2"/>
      <c r="V172" s="2"/>
      <c r="W172" s="2"/>
      <c r="X172" s="2"/>
      <c r="Y172" s="2"/>
    </row>
    <row r="173" spans="1:25" ht="16">
      <c r="A173" t="s">
        <v>194</v>
      </c>
      <c r="B173">
        <f>S173</f>
        <v>0.48783910000000003</v>
      </c>
      <c r="C173">
        <f>T173</f>
        <v>0.51787240000000001</v>
      </c>
      <c r="H173" t="s">
        <v>321</v>
      </c>
      <c r="R173" s="8" t="s">
        <v>194</v>
      </c>
      <c r="S173" s="2">
        <v>0.48783910000000003</v>
      </c>
      <c r="T173" s="2">
        <v>0.51787240000000001</v>
      </c>
      <c r="U173" s="2"/>
      <c r="V173" s="2"/>
      <c r="W173" s="2"/>
      <c r="X173" s="2"/>
      <c r="Y173" s="2"/>
    </row>
    <row r="174" spans="1:25" ht="16">
      <c r="A174" t="s">
        <v>195</v>
      </c>
      <c r="B174">
        <f t="shared" ref="B174:B237" si="8">S174</f>
        <v>0.50824150000000001</v>
      </c>
      <c r="C174">
        <f t="shared" ref="C174:C237" si="9">T174</f>
        <v>0.53172920000000001</v>
      </c>
      <c r="H174" t="s">
        <v>322</v>
      </c>
      <c r="R174" s="8" t="s">
        <v>195</v>
      </c>
      <c r="S174" s="2">
        <v>0.50824150000000001</v>
      </c>
      <c r="T174" s="2">
        <v>0.53172920000000001</v>
      </c>
      <c r="U174" s="2"/>
      <c r="V174" s="2"/>
      <c r="W174" s="2"/>
      <c r="X174" s="2"/>
      <c r="Y174" s="2"/>
    </row>
    <row r="175" spans="1:25" ht="16">
      <c r="A175" t="s">
        <v>196</v>
      </c>
      <c r="B175">
        <f t="shared" si="8"/>
        <v>0.4954363</v>
      </c>
      <c r="C175">
        <f t="shared" si="9"/>
        <v>0.51665819999999996</v>
      </c>
      <c r="H175" t="s">
        <v>323</v>
      </c>
      <c r="R175" s="8" t="s">
        <v>196</v>
      </c>
      <c r="S175" s="2">
        <v>0.4954363</v>
      </c>
      <c r="T175" s="2">
        <v>0.51665819999999996</v>
      </c>
      <c r="U175" s="2"/>
      <c r="V175" s="2"/>
      <c r="W175" s="2"/>
      <c r="X175" s="2"/>
      <c r="Y175" s="2"/>
    </row>
    <row r="176" spans="1:25" ht="16">
      <c r="A176" t="s">
        <v>197</v>
      </c>
      <c r="B176">
        <f t="shared" si="8"/>
        <v>0.49337910000000001</v>
      </c>
      <c r="C176">
        <f t="shared" si="9"/>
        <v>0.54560350000000002</v>
      </c>
      <c r="H176" t="s">
        <v>324</v>
      </c>
      <c r="R176" s="8" t="s">
        <v>197</v>
      </c>
      <c r="S176" s="2">
        <v>0.49337910000000001</v>
      </c>
      <c r="T176" s="2">
        <v>0.54560350000000002</v>
      </c>
      <c r="U176" s="2"/>
      <c r="V176" s="2"/>
      <c r="W176" s="2"/>
      <c r="X176" s="2"/>
      <c r="Y176" s="2"/>
    </row>
    <row r="177" spans="1:25" ht="16">
      <c r="A177" t="s">
        <v>198</v>
      </c>
      <c r="B177">
        <f t="shared" si="8"/>
        <v>0.46268559999999997</v>
      </c>
      <c r="C177">
        <f t="shared" si="9"/>
        <v>0.50227330000000003</v>
      </c>
      <c r="H177" t="s">
        <v>325</v>
      </c>
      <c r="R177" s="8" t="s">
        <v>198</v>
      </c>
      <c r="S177" s="2">
        <v>0.46268559999999997</v>
      </c>
      <c r="T177" s="2">
        <v>0.50227330000000003</v>
      </c>
      <c r="U177" s="2"/>
      <c r="V177" s="2"/>
      <c r="W177" s="2"/>
      <c r="X177" s="2"/>
      <c r="Y177" s="2"/>
    </row>
    <row r="178" spans="1:25" ht="16">
      <c r="A178" t="s">
        <v>199</v>
      </c>
      <c r="B178">
        <f t="shared" si="8"/>
        <v>0.49858520000000001</v>
      </c>
      <c r="C178">
        <f t="shared" si="9"/>
        <v>0.50758890000000001</v>
      </c>
      <c r="H178" t="s">
        <v>326</v>
      </c>
      <c r="R178" s="8" t="s">
        <v>199</v>
      </c>
      <c r="S178" s="2">
        <v>0.49858520000000001</v>
      </c>
      <c r="T178" s="2">
        <v>0.50758890000000001</v>
      </c>
      <c r="U178" s="2"/>
      <c r="V178" s="2"/>
      <c r="W178" s="2"/>
      <c r="X178" s="2"/>
      <c r="Y178" s="2"/>
    </row>
    <row r="179" spans="1:25" ht="16">
      <c r="A179" t="s">
        <v>200</v>
      </c>
      <c r="B179">
        <f t="shared" si="8"/>
        <v>0.4637829</v>
      </c>
      <c r="C179">
        <f t="shared" si="9"/>
        <v>0.51259960000000004</v>
      </c>
      <c r="H179" t="s">
        <v>327</v>
      </c>
      <c r="R179" s="8" t="s">
        <v>200</v>
      </c>
      <c r="S179" s="2">
        <v>0.4637829</v>
      </c>
      <c r="T179" s="2">
        <v>0.51259960000000004</v>
      </c>
      <c r="U179" s="2"/>
      <c r="V179" s="2"/>
      <c r="W179" s="2"/>
      <c r="X179" s="2"/>
      <c r="Y179" s="2"/>
    </row>
    <row r="180" spans="1:25" ht="16">
      <c r="A180" t="s">
        <v>201</v>
      </c>
      <c r="B180">
        <f t="shared" si="8"/>
        <v>0.46027560000000001</v>
      </c>
      <c r="C180">
        <f t="shared" si="9"/>
        <v>0.50283860000000002</v>
      </c>
      <c r="H180" t="s">
        <v>328</v>
      </c>
      <c r="R180" s="8" t="s">
        <v>201</v>
      </c>
      <c r="S180" s="2">
        <v>0.46027560000000001</v>
      </c>
      <c r="T180" s="2">
        <v>0.50283860000000002</v>
      </c>
      <c r="U180" s="2"/>
      <c r="V180" s="2"/>
      <c r="W180" s="2"/>
      <c r="X180" s="2"/>
      <c r="Y180" s="2"/>
    </row>
    <row r="181" spans="1:25" ht="16">
      <c r="A181" t="s">
        <v>202</v>
      </c>
      <c r="B181">
        <f t="shared" si="8"/>
        <v>0.43468770000000001</v>
      </c>
      <c r="C181">
        <f t="shared" si="9"/>
        <v>0.50279079999999998</v>
      </c>
      <c r="H181" t="s">
        <v>329</v>
      </c>
      <c r="R181" s="8" t="s">
        <v>202</v>
      </c>
      <c r="S181" s="2">
        <v>0.43468770000000001</v>
      </c>
      <c r="T181" s="2">
        <v>0.50279079999999998</v>
      </c>
      <c r="U181" s="2"/>
      <c r="V181" s="2"/>
      <c r="W181" s="2"/>
      <c r="X181" s="2"/>
      <c r="Y181" s="2"/>
    </row>
    <row r="182" spans="1:25" ht="16">
      <c r="A182" t="s">
        <v>203</v>
      </c>
      <c r="B182">
        <f t="shared" si="8"/>
        <v>0.36710559999999998</v>
      </c>
      <c r="C182">
        <f t="shared" si="9"/>
        <v>0.41935660000000002</v>
      </c>
      <c r="H182" t="s">
        <v>330</v>
      </c>
      <c r="R182" s="8" t="s">
        <v>203</v>
      </c>
      <c r="S182" s="2">
        <v>0.36710559999999998</v>
      </c>
      <c r="T182" s="2">
        <v>0.41935660000000002</v>
      </c>
      <c r="U182" s="2"/>
      <c r="V182" s="2"/>
      <c r="W182" s="2"/>
      <c r="X182" s="2"/>
      <c r="Y182" s="2"/>
    </row>
    <row r="183" spans="1:25">
      <c r="A183" t="s">
        <v>184</v>
      </c>
      <c r="B183" t="str">
        <f t="shared" si="8"/>
        <v>------------------</v>
      </c>
      <c r="C183" t="str">
        <f t="shared" si="9"/>
        <v>-------------------</v>
      </c>
      <c r="H183" t="s">
        <v>226</v>
      </c>
      <c r="R183" s="2" t="s">
        <v>184</v>
      </c>
      <c r="S183" s="2" t="s">
        <v>185</v>
      </c>
      <c r="T183" s="2" t="s">
        <v>186</v>
      </c>
      <c r="U183" s="2"/>
      <c r="V183" s="2"/>
      <c r="W183" s="2"/>
      <c r="X183" s="2"/>
      <c r="Y183" s="2"/>
    </row>
    <row r="184" spans="1:25" ht="16">
      <c r="B184">
        <f t="shared" si="8"/>
        <v>0</v>
      </c>
      <c r="C184">
        <f t="shared" si="9"/>
        <v>0</v>
      </c>
      <c r="R184" s="8"/>
      <c r="S184" s="2"/>
      <c r="T184" s="2"/>
      <c r="U184" s="2"/>
      <c r="V184" s="2"/>
      <c r="W184" s="2"/>
      <c r="X184" s="2"/>
      <c r="Y184" s="2"/>
    </row>
    <row r="185" spans="1:25">
      <c r="A185" t="s">
        <v>180</v>
      </c>
      <c r="B185" t="str">
        <f t="shared" si="8"/>
        <v>uc1 rural [aw=ppop</v>
      </c>
      <c r="C185" t="str">
        <f t="shared" si="9"/>
        <v>wgt], c(mean no_edu</v>
      </c>
      <c r="D185" t="s">
        <v>218</v>
      </c>
      <c r="H185" t="s">
        <v>331</v>
      </c>
      <c r="R185" s="2" t="s">
        <v>180</v>
      </c>
      <c r="S185" s="2" t="s">
        <v>415</v>
      </c>
      <c r="T185" s="2" t="s">
        <v>217</v>
      </c>
      <c r="U185" s="2" t="s">
        <v>218</v>
      </c>
      <c r="V185" s="2"/>
      <c r="W185" s="2"/>
      <c r="X185" s="2"/>
      <c r="Y185" s="2"/>
    </row>
    <row r="186" spans="1:25" ht="16">
      <c r="B186">
        <f t="shared" si="8"/>
        <v>0</v>
      </c>
      <c r="C186">
        <f t="shared" si="9"/>
        <v>0</v>
      </c>
      <c r="R186" s="8"/>
      <c r="S186" s="2"/>
      <c r="T186" s="2"/>
      <c r="U186" s="2"/>
      <c r="V186" s="2"/>
      <c r="W186" s="2"/>
      <c r="X186" s="2"/>
      <c r="Y186" s="2"/>
    </row>
    <row r="187" spans="1:25" ht="16">
      <c r="A187" t="s">
        <v>184</v>
      </c>
      <c r="B187" t="str">
        <f t="shared" si="8"/>
        <v>------------------</v>
      </c>
      <c r="C187" t="str">
        <f t="shared" si="9"/>
        <v>-------------------</v>
      </c>
      <c r="H187" t="s">
        <v>226</v>
      </c>
      <c r="R187" s="8" t="s">
        <v>184</v>
      </c>
      <c r="S187" s="2" t="s">
        <v>185</v>
      </c>
      <c r="T187" s="2" t="s">
        <v>186</v>
      </c>
      <c r="U187" s="2"/>
      <c r="V187" s="2"/>
      <c r="W187" s="2"/>
      <c r="X187" s="2"/>
      <c r="Y187" s="2"/>
    </row>
    <row r="188" spans="1:25" ht="16">
      <c r="A188" t="s">
        <v>187</v>
      </c>
      <c r="B188" t="str">
        <f t="shared" si="8"/>
        <v>rura</v>
      </c>
      <c r="C188" t="str">
        <f t="shared" si="9"/>
        <v>l area</v>
      </c>
      <c r="H188" t="s">
        <v>227</v>
      </c>
      <c r="R188" s="8" t="s">
        <v>187</v>
      </c>
      <c r="S188" s="2" t="s">
        <v>188</v>
      </c>
      <c r="T188" s="2" t="s">
        <v>189</v>
      </c>
      <c r="U188" s="2"/>
      <c r="V188" s="2"/>
      <c r="W188" s="2"/>
      <c r="X188" s="2"/>
      <c r="Y188" s="2"/>
    </row>
    <row r="189" spans="1:25" ht="16">
      <c r="A189" t="s">
        <v>190</v>
      </c>
      <c r="B189" t="str">
        <f t="shared" si="8"/>
        <v>[0]not rural area</v>
      </c>
      <c r="C189" t="str">
        <f t="shared" si="9"/>
        <v>[1]rural area</v>
      </c>
      <c r="H189" t="s">
        <v>228</v>
      </c>
      <c r="R189" s="8" t="s">
        <v>190</v>
      </c>
      <c r="S189" s="2" t="s">
        <v>191</v>
      </c>
      <c r="T189" s="2" t="s">
        <v>192</v>
      </c>
      <c r="U189" s="2"/>
      <c r="V189" s="2"/>
      <c r="W189" s="2"/>
      <c r="X189" s="2"/>
      <c r="Y189" s="2"/>
    </row>
    <row r="190" spans="1:25" ht="16">
      <c r="A190" t="s">
        <v>193</v>
      </c>
      <c r="B190" t="str">
        <f t="shared" si="8"/>
        <v>------------------</v>
      </c>
      <c r="C190" t="str">
        <f t="shared" si="9"/>
        <v>-------------------</v>
      </c>
      <c r="H190" t="s">
        <v>229</v>
      </c>
      <c r="R190" s="8" t="s">
        <v>193</v>
      </c>
      <c r="S190" s="2" t="s">
        <v>185</v>
      </c>
      <c r="T190" s="2" t="s">
        <v>186</v>
      </c>
      <c r="U190" s="2"/>
      <c r="V190" s="2"/>
      <c r="W190" s="2"/>
      <c r="X190" s="2"/>
      <c r="Y190" s="2"/>
    </row>
    <row r="191" spans="1:25" ht="16">
      <c r="A191" t="s">
        <v>194</v>
      </c>
      <c r="B191">
        <f t="shared" si="8"/>
        <v>0.30135010000000001</v>
      </c>
      <c r="C191">
        <f t="shared" si="9"/>
        <v>0.4186243</v>
      </c>
      <c r="H191" t="s">
        <v>332</v>
      </c>
      <c r="R191" s="8" t="s">
        <v>194</v>
      </c>
      <c r="S191" s="2">
        <v>0.30135010000000001</v>
      </c>
      <c r="T191" s="2">
        <v>0.4186243</v>
      </c>
      <c r="U191" s="2"/>
      <c r="V191" s="2"/>
      <c r="W191" s="2"/>
      <c r="X191" s="2"/>
      <c r="Y191" s="2"/>
    </row>
    <row r="192" spans="1:25" ht="16">
      <c r="A192" t="s">
        <v>195</v>
      </c>
      <c r="B192">
        <f t="shared" si="8"/>
        <v>0.33984900000000001</v>
      </c>
      <c r="C192">
        <f t="shared" si="9"/>
        <v>0.41610439999999999</v>
      </c>
      <c r="H192" t="s">
        <v>333</v>
      </c>
      <c r="R192" s="8" t="s">
        <v>195</v>
      </c>
      <c r="S192" s="2">
        <v>0.33984900000000001</v>
      </c>
      <c r="T192" s="2">
        <v>0.41610439999999999</v>
      </c>
      <c r="U192" s="2"/>
      <c r="V192" s="2"/>
      <c r="W192" s="2"/>
      <c r="X192" s="2"/>
      <c r="Y192" s="2"/>
    </row>
    <row r="193" spans="1:25" ht="16">
      <c r="A193" t="s">
        <v>196</v>
      </c>
      <c r="B193">
        <f t="shared" si="8"/>
        <v>0.3284784</v>
      </c>
      <c r="C193">
        <f t="shared" si="9"/>
        <v>0.42165849999999999</v>
      </c>
      <c r="H193" t="s">
        <v>334</v>
      </c>
      <c r="R193" s="8" t="s">
        <v>196</v>
      </c>
      <c r="S193" s="2">
        <v>0.3284784</v>
      </c>
      <c r="T193" s="2">
        <v>0.42165849999999999</v>
      </c>
      <c r="U193" s="2"/>
      <c r="V193" s="2"/>
      <c r="W193" s="2"/>
      <c r="X193" s="2"/>
      <c r="Y193" s="2"/>
    </row>
    <row r="194" spans="1:25" ht="16">
      <c r="A194" t="s">
        <v>197</v>
      </c>
      <c r="B194">
        <f t="shared" si="8"/>
        <v>0.3003421</v>
      </c>
      <c r="C194">
        <f t="shared" si="9"/>
        <v>0.40924919999999998</v>
      </c>
      <c r="H194" t="s">
        <v>335</v>
      </c>
      <c r="R194" s="8" t="s">
        <v>197</v>
      </c>
      <c r="S194" s="2">
        <v>0.3003421</v>
      </c>
      <c r="T194" s="2">
        <v>0.40924919999999998</v>
      </c>
      <c r="U194" s="2"/>
      <c r="V194" s="2"/>
      <c r="W194" s="2"/>
      <c r="X194" s="2"/>
      <c r="Y194" s="2"/>
    </row>
    <row r="195" spans="1:25" ht="16">
      <c r="A195" t="s">
        <v>198</v>
      </c>
      <c r="B195">
        <f t="shared" si="8"/>
        <v>0.32085029999999998</v>
      </c>
      <c r="C195">
        <f t="shared" si="9"/>
        <v>0.44111020000000001</v>
      </c>
      <c r="H195" t="s">
        <v>336</v>
      </c>
      <c r="R195" s="8" t="s">
        <v>198</v>
      </c>
      <c r="S195" s="2">
        <v>0.32085029999999998</v>
      </c>
      <c r="T195" s="2">
        <v>0.44111020000000001</v>
      </c>
      <c r="U195" s="2"/>
      <c r="V195" s="2"/>
      <c r="W195" s="2"/>
      <c r="X195" s="2"/>
      <c r="Y195" s="2"/>
    </row>
    <row r="196" spans="1:25" ht="16">
      <c r="A196" t="s">
        <v>199</v>
      </c>
      <c r="B196">
        <f t="shared" si="8"/>
        <v>0.2911878</v>
      </c>
      <c r="C196">
        <f t="shared" si="9"/>
        <v>0.42273139999999998</v>
      </c>
      <c r="H196" t="s">
        <v>337</v>
      </c>
      <c r="R196" s="8" t="s">
        <v>199</v>
      </c>
      <c r="S196" s="2">
        <v>0.2911878</v>
      </c>
      <c r="T196" s="2">
        <v>0.42273139999999998</v>
      </c>
      <c r="U196" s="2"/>
      <c r="V196" s="2"/>
      <c r="W196" s="2"/>
      <c r="X196" s="2"/>
      <c r="Y196" s="2"/>
    </row>
    <row r="197" spans="1:25" ht="16">
      <c r="A197" t="s">
        <v>200</v>
      </c>
      <c r="B197">
        <f t="shared" si="8"/>
        <v>0.29575449999999998</v>
      </c>
      <c r="C197">
        <f t="shared" si="9"/>
        <v>0.43884220000000002</v>
      </c>
      <c r="H197" t="s">
        <v>338</v>
      </c>
      <c r="R197" s="8" t="s">
        <v>200</v>
      </c>
      <c r="S197" s="2">
        <v>0.29575449999999998</v>
      </c>
      <c r="T197" s="2">
        <v>0.43884220000000002</v>
      </c>
      <c r="U197" s="2"/>
      <c r="V197" s="2"/>
      <c r="W197" s="2"/>
      <c r="X197" s="2"/>
      <c r="Y197" s="2"/>
    </row>
    <row r="198" spans="1:25" ht="16">
      <c r="A198" t="s">
        <v>201</v>
      </c>
      <c r="B198">
        <f t="shared" si="8"/>
        <v>0.27926299999999998</v>
      </c>
      <c r="C198">
        <f t="shared" si="9"/>
        <v>0.43963989999999997</v>
      </c>
      <c r="H198" t="s">
        <v>339</v>
      </c>
      <c r="R198" s="8" t="s">
        <v>201</v>
      </c>
      <c r="S198" s="2">
        <v>0.27926299999999998</v>
      </c>
      <c r="T198" s="2">
        <v>0.43963989999999997</v>
      </c>
      <c r="U198" s="2"/>
      <c r="V198" s="2"/>
      <c r="W198" s="2"/>
      <c r="X198" s="2"/>
      <c r="Y198" s="2"/>
    </row>
    <row r="199" spans="1:25" ht="16">
      <c r="A199" t="s">
        <v>202</v>
      </c>
      <c r="B199">
        <f t="shared" si="8"/>
        <v>0.2780164</v>
      </c>
      <c r="C199">
        <f t="shared" si="9"/>
        <v>0.42781209999999997</v>
      </c>
      <c r="H199" t="s">
        <v>340</v>
      </c>
      <c r="R199" s="8" t="s">
        <v>202</v>
      </c>
      <c r="S199" s="2">
        <v>0.2780164</v>
      </c>
      <c r="T199" s="2">
        <v>0.42781209999999997</v>
      </c>
      <c r="U199" s="2"/>
      <c r="V199" s="2"/>
      <c r="W199" s="2"/>
      <c r="X199" s="2"/>
      <c r="Y199" s="2"/>
    </row>
    <row r="200" spans="1:25" ht="16">
      <c r="A200" t="s">
        <v>203</v>
      </c>
      <c r="B200">
        <f t="shared" si="8"/>
        <v>0.2220065</v>
      </c>
      <c r="C200">
        <f t="shared" si="9"/>
        <v>0.48328900000000002</v>
      </c>
      <c r="H200" t="s">
        <v>341</v>
      </c>
      <c r="R200" s="8" t="s">
        <v>203</v>
      </c>
      <c r="S200" s="2">
        <v>0.2220065</v>
      </c>
      <c r="T200" s="2">
        <v>0.48328900000000002</v>
      </c>
      <c r="U200" s="2"/>
      <c r="V200" s="2"/>
      <c r="W200" s="2"/>
      <c r="X200" s="2"/>
      <c r="Y200" s="2"/>
    </row>
    <row r="201" spans="1:25">
      <c r="A201" t="s">
        <v>184</v>
      </c>
      <c r="B201" t="str">
        <f t="shared" si="8"/>
        <v>------------------</v>
      </c>
      <c r="C201" t="str">
        <f t="shared" si="9"/>
        <v>-------------------</v>
      </c>
      <c r="H201" t="s">
        <v>226</v>
      </c>
      <c r="R201" s="2" t="s">
        <v>184</v>
      </c>
      <c r="S201" s="2" t="s">
        <v>185</v>
      </c>
      <c r="T201" s="2" t="s">
        <v>186</v>
      </c>
      <c r="U201" s="2"/>
      <c r="V201" s="2"/>
      <c r="W201" s="2"/>
      <c r="X201" s="2"/>
      <c r="Y201" s="2"/>
    </row>
    <row r="202" spans="1:25" ht="16">
      <c r="B202">
        <f t="shared" si="8"/>
        <v>0</v>
      </c>
      <c r="C202">
        <f t="shared" si="9"/>
        <v>0</v>
      </c>
      <c r="R202" s="8"/>
      <c r="S202" s="2"/>
      <c r="T202" s="2"/>
      <c r="U202" s="2"/>
      <c r="V202" s="2"/>
      <c r="W202" s="2"/>
      <c r="X202" s="2"/>
      <c r="Y202" s="2"/>
    </row>
    <row r="203" spans="1:25">
      <c r="A203" t="s">
        <v>180</v>
      </c>
      <c r="B203" t="str">
        <f t="shared" si="8"/>
        <v>uc1 rural [aw=ppop</v>
      </c>
      <c r="C203" t="str">
        <f t="shared" si="9"/>
        <v>wgt], c(mean primar</v>
      </c>
      <c r="D203" t="s">
        <v>220</v>
      </c>
      <c r="H203" t="s">
        <v>342</v>
      </c>
      <c r="R203" s="2" t="s">
        <v>180</v>
      </c>
      <c r="S203" s="2" t="s">
        <v>415</v>
      </c>
      <c r="T203" s="2" t="s">
        <v>219</v>
      </c>
      <c r="U203" s="2" t="s">
        <v>220</v>
      </c>
      <c r="V203" s="2"/>
      <c r="W203" s="2"/>
      <c r="X203" s="2"/>
      <c r="Y203" s="2"/>
    </row>
    <row r="204" spans="1:25" ht="16">
      <c r="B204">
        <f t="shared" si="8"/>
        <v>0</v>
      </c>
      <c r="C204">
        <f t="shared" si="9"/>
        <v>0</v>
      </c>
      <c r="R204" s="8"/>
      <c r="S204" s="2"/>
      <c r="T204" s="2"/>
      <c r="U204" s="2"/>
      <c r="V204" s="2"/>
      <c r="W204" s="2"/>
      <c r="X204" s="2"/>
      <c r="Y204" s="2"/>
    </row>
    <row r="205" spans="1:25" ht="16">
      <c r="A205" t="s">
        <v>184</v>
      </c>
      <c r="B205" t="str">
        <f t="shared" si="8"/>
        <v>------------------</v>
      </c>
      <c r="C205" t="str">
        <f t="shared" si="9"/>
        <v>-------------------</v>
      </c>
      <c r="H205" t="s">
        <v>226</v>
      </c>
      <c r="R205" s="8" t="s">
        <v>184</v>
      </c>
      <c r="S205" s="2" t="s">
        <v>185</v>
      </c>
      <c r="T205" s="2" t="s">
        <v>186</v>
      </c>
      <c r="U205" s="2"/>
      <c r="V205" s="2"/>
      <c r="W205" s="2"/>
      <c r="X205" s="2"/>
      <c r="Y205" s="2"/>
    </row>
    <row r="206" spans="1:25" ht="16">
      <c r="A206" t="s">
        <v>187</v>
      </c>
      <c r="B206" t="str">
        <f t="shared" si="8"/>
        <v>rura</v>
      </c>
      <c r="C206" t="str">
        <f t="shared" si="9"/>
        <v>l area</v>
      </c>
      <c r="H206" t="s">
        <v>227</v>
      </c>
      <c r="R206" s="8" t="s">
        <v>187</v>
      </c>
      <c r="S206" s="2" t="s">
        <v>188</v>
      </c>
      <c r="T206" s="2" t="s">
        <v>189</v>
      </c>
      <c r="U206" s="2"/>
      <c r="V206" s="2"/>
      <c r="W206" s="2"/>
      <c r="X206" s="2"/>
      <c r="Y206" s="2"/>
    </row>
    <row r="207" spans="1:25" ht="16">
      <c r="A207" t="s">
        <v>190</v>
      </c>
      <c r="B207" t="str">
        <f t="shared" si="8"/>
        <v>[0]not rural area</v>
      </c>
      <c r="C207" t="str">
        <f t="shared" si="9"/>
        <v>[1]rural area</v>
      </c>
      <c r="H207" t="s">
        <v>228</v>
      </c>
      <c r="R207" s="8" t="s">
        <v>190</v>
      </c>
      <c r="S207" s="2" t="s">
        <v>191</v>
      </c>
      <c r="T207" s="2" t="s">
        <v>192</v>
      </c>
      <c r="U207" s="2"/>
      <c r="V207" s="2"/>
      <c r="W207" s="2"/>
      <c r="X207" s="2"/>
      <c r="Y207" s="2"/>
    </row>
    <row r="208" spans="1:25" ht="16">
      <c r="A208" t="s">
        <v>193</v>
      </c>
      <c r="B208" t="str">
        <f t="shared" si="8"/>
        <v>------------------</v>
      </c>
      <c r="C208" t="str">
        <f t="shared" si="9"/>
        <v>-------------------</v>
      </c>
      <c r="H208" t="s">
        <v>229</v>
      </c>
      <c r="R208" s="8" t="s">
        <v>193</v>
      </c>
      <c r="S208" s="2" t="s">
        <v>185</v>
      </c>
      <c r="T208" s="2" t="s">
        <v>186</v>
      </c>
      <c r="U208" s="2"/>
      <c r="V208" s="2"/>
      <c r="W208" s="2"/>
      <c r="X208" s="2"/>
      <c r="Y208" s="2"/>
    </row>
    <row r="209" spans="1:25" ht="16">
      <c r="A209" t="s">
        <v>194</v>
      </c>
      <c r="B209">
        <f t="shared" si="8"/>
        <v>8.5734099999999994E-2</v>
      </c>
      <c r="C209">
        <f t="shared" si="9"/>
        <v>3.9750500000000001E-2</v>
      </c>
      <c r="H209" t="s">
        <v>343</v>
      </c>
      <c r="R209" s="8" t="s">
        <v>194</v>
      </c>
      <c r="S209" s="2">
        <v>8.5734099999999994E-2</v>
      </c>
      <c r="T209" s="2">
        <v>3.9750500000000001E-2</v>
      </c>
      <c r="U209" s="2"/>
      <c r="V209" s="2"/>
      <c r="W209" s="2"/>
      <c r="X209" s="2"/>
      <c r="Y209" s="2"/>
    </row>
    <row r="210" spans="1:25" ht="16">
      <c r="A210" t="s">
        <v>195</v>
      </c>
      <c r="B210">
        <f t="shared" si="8"/>
        <v>7.4548799999999998E-2</v>
      </c>
      <c r="C210">
        <f t="shared" si="9"/>
        <v>3.8275400000000001E-2</v>
      </c>
      <c r="H210" t="s">
        <v>344</v>
      </c>
      <c r="R210" s="8" t="s">
        <v>195</v>
      </c>
      <c r="S210" s="2">
        <v>7.4548799999999998E-2</v>
      </c>
      <c r="T210" s="2">
        <v>3.8275400000000001E-2</v>
      </c>
      <c r="U210" s="2"/>
      <c r="V210" s="2"/>
      <c r="W210" s="2"/>
      <c r="X210" s="2"/>
      <c r="Y210" s="2"/>
    </row>
    <row r="211" spans="1:25" ht="16">
      <c r="A211" t="s">
        <v>196</v>
      </c>
      <c r="B211">
        <f t="shared" si="8"/>
        <v>8.1086099999999994E-2</v>
      </c>
      <c r="C211">
        <f t="shared" si="9"/>
        <v>4.6767499999999997E-2</v>
      </c>
      <c r="H211" t="s">
        <v>345</v>
      </c>
      <c r="R211" s="8" t="s">
        <v>196</v>
      </c>
      <c r="S211" s="2">
        <v>8.1086099999999994E-2</v>
      </c>
      <c r="T211" s="2">
        <v>4.6767499999999997E-2</v>
      </c>
      <c r="U211" s="2"/>
      <c r="V211" s="2"/>
      <c r="W211" s="2"/>
      <c r="X211" s="2"/>
      <c r="Y211" s="2"/>
    </row>
    <row r="212" spans="1:25" ht="16">
      <c r="A212" t="s">
        <v>197</v>
      </c>
      <c r="B212">
        <f t="shared" si="8"/>
        <v>9.9987699999999999E-2</v>
      </c>
      <c r="C212">
        <f t="shared" si="9"/>
        <v>3.2807500000000003E-2</v>
      </c>
      <c r="H212" t="s">
        <v>346</v>
      </c>
      <c r="R212" s="8" t="s">
        <v>197</v>
      </c>
      <c r="S212" s="2">
        <v>9.9987699999999999E-2</v>
      </c>
      <c r="T212" s="2">
        <v>3.2807500000000003E-2</v>
      </c>
      <c r="U212" s="2"/>
      <c r="V212" s="2"/>
      <c r="W212" s="2"/>
      <c r="X212" s="2"/>
      <c r="Y212" s="2"/>
    </row>
    <row r="213" spans="1:25" ht="16">
      <c r="A213" t="s">
        <v>198</v>
      </c>
      <c r="B213">
        <f t="shared" si="8"/>
        <v>0.10439089999999999</v>
      </c>
      <c r="C213">
        <f t="shared" si="9"/>
        <v>4.5955099999999999E-2</v>
      </c>
      <c r="H213" t="s">
        <v>347</v>
      </c>
      <c r="R213" s="8" t="s">
        <v>198</v>
      </c>
      <c r="S213" s="2">
        <v>0.10439089999999999</v>
      </c>
      <c r="T213" s="2">
        <v>4.5955099999999999E-2</v>
      </c>
      <c r="U213" s="2"/>
      <c r="V213" s="2"/>
      <c r="W213" s="2"/>
      <c r="X213" s="2"/>
      <c r="Y213" s="2"/>
    </row>
    <row r="214" spans="1:25" ht="16">
      <c r="A214" t="s">
        <v>199</v>
      </c>
      <c r="B214">
        <f t="shared" si="8"/>
        <v>9.6109399999999998E-2</v>
      </c>
      <c r="C214">
        <f t="shared" si="9"/>
        <v>5.3290299999999999E-2</v>
      </c>
      <c r="H214" t="s">
        <v>348</v>
      </c>
      <c r="R214" s="8" t="s">
        <v>199</v>
      </c>
      <c r="S214" s="2">
        <v>9.6109399999999998E-2</v>
      </c>
      <c r="T214" s="2">
        <v>5.3290299999999999E-2</v>
      </c>
      <c r="U214" s="2"/>
      <c r="V214" s="2"/>
      <c r="W214" s="2"/>
      <c r="X214" s="2"/>
      <c r="Y214" s="2"/>
    </row>
    <row r="215" spans="1:25" ht="16">
      <c r="A215" t="s">
        <v>200</v>
      </c>
      <c r="B215">
        <f t="shared" si="8"/>
        <v>0.11823160000000001</v>
      </c>
      <c r="C215">
        <f t="shared" si="9"/>
        <v>4.0266099999999999E-2</v>
      </c>
      <c r="H215" t="s">
        <v>349</v>
      </c>
      <c r="R215" s="8" t="s">
        <v>200</v>
      </c>
      <c r="S215" s="2">
        <v>0.11823160000000001</v>
      </c>
      <c r="T215" s="2">
        <v>4.0266099999999999E-2</v>
      </c>
      <c r="U215" s="2"/>
      <c r="V215" s="2"/>
      <c r="W215" s="2"/>
      <c r="X215" s="2"/>
      <c r="Y215" s="2"/>
    </row>
    <row r="216" spans="1:25" ht="16">
      <c r="A216" t="s">
        <v>201</v>
      </c>
      <c r="B216">
        <f t="shared" si="8"/>
        <v>0.11855300000000001</v>
      </c>
      <c r="C216">
        <f t="shared" si="9"/>
        <v>4.2890699999999997E-2</v>
      </c>
      <c r="H216" t="s">
        <v>350</v>
      </c>
      <c r="R216" s="8" t="s">
        <v>201</v>
      </c>
      <c r="S216" s="2">
        <v>0.11855300000000001</v>
      </c>
      <c r="T216" s="2">
        <v>4.2890699999999997E-2</v>
      </c>
      <c r="U216" s="2"/>
      <c r="V216" s="2"/>
      <c r="W216" s="2"/>
      <c r="X216" s="2"/>
      <c r="Y216" s="2"/>
    </row>
    <row r="217" spans="1:25" ht="16">
      <c r="A217" t="s">
        <v>202</v>
      </c>
      <c r="B217">
        <f t="shared" si="8"/>
        <v>0.1124047</v>
      </c>
      <c r="C217">
        <f t="shared" si="9"/>
        <v>4.2410799999999998E-2</v>
      </c>
      <c r="H217" t="s">
        <v>351</v>
      </c>
      <c r="R217" s="8" t="s">
        <v>202</v>
      </c>
      <c r="S217" s="2">
        <v>0.1124047</v>
      </c>
      <c r="T217" s="2">
        <v>4.2410799999999998E-2</v>
      </c>
      <c r="U217" s="2"/>
      <c r="V217" s="2"/>
      <c r="W217" s="2"/>
      <c r="X217" s="2"/>
      <c r="Y217" s="2"/>
    </row>
    <row r="218" spans="1:25" ht="16">
      <c r="A218" t="s">
        <v>203</v>
      </c>
      <c r="B218">
        <f t="shared" si="8"/>
        <v>0.1025693</v>
      </c>
      <c r="C218">
        <f t="shared" si="9"/>
        <v>4.6064099999999997E-2</v>
      </c>
      <c r="H218" t="s">
        <v>352</v>
      </c>
      <c r="R218" s="8" t="s">
        <v>203</v>
      </c>
      <c r="S218" s="2">
        <v>0.1025693</v>
      </c>
      <c r="T218" s="2">
        <v>4.6064099999999997E-2</v>
      </c>
      <c r="U218" s="2"/>
      <c r="V218" s="2"/>
      <c r="W218" s="2"/>
      <c r="X218" s="2"/>
      <c r="Y218" s="2"/>
    </row>
    <row r="219" spans="1:25">
      <c r="A219" t="s">
        <v>184</v>
      </c>
      <c r="B219" t="str">
        <f t="shared" si="8"/>
        <v>------------------</v>
      </c>
      <c r="C219" t="str">
        <f t="shared" si="9"/>
        <v>-------------------</v>
      </c>
      <c r="H219" t="s">
        <v>226</v>
      </c>
      <c r="R219" t="s">
        <v>184</v>
      </c>
      <c r="S219" t="s">
        <v>185</v>
      </c>
      <c r="T219" t="s">
        <v>186</v>
      </c>
    </row>
    <row r="220" spans="1:25" ht="16">
      <c r="B220">
        <f t="shared" si="8"/>
        <v>0</v>
      </c>
      <c r="C220">
        <f t="shared" si="9"/>
        <v>0</v>
      </c>
      <c r="R220" s="7"/>
    </row>
    <row r="221" spans="1:25" ht="16">
      <c r="A221" t="s">
        <v>180</v>
      </c>
      <c r="B221" t="str">
        <f t="shared" si="8"/>
        <v>uc1 rural [aw=ppop</v>
      </c>
      <c r="C221" t="str">
        <f t="shared" si="9"/>
        <v>wgt], c(mean second</v>
      </c>
      <c r="D221" t="s">
        <v>222</v>
      </c>
      <c r="H221" t="s">
        <v>353</v>
      </c>
      <c r="R221" s="7" t="s">
        <v>180</v>
      </c>
      <c r="S221" t="s">
        <v>415</v>
      </c>
      <c r="T221" t="s">
        <v>221</v>
      </c>
      <c r="U221" t="s">
        <v>222</v>
      </c>
    </row>
    <row r="222" spans="1:25">
      <c r="B222">
        <f t="shared" si="8"/>
        <v>0</v>
      </c>
      <c r="C222">
        <f t="shared" si="9"/>
        <v>0</v>
      </c>
    </row>
    <row r="223" spans="1:25" ht="16">
      <c r="A223" t="s">
        <v>184</v>
      </c>
      <c r="B223" t="str">
        <f t="shared" si="8"/>
        <v>------------------</v>
      </c>
      <c r="C223" t="str">
        <f t="shared" si="9"/>
        <v>-------------------</v>
      </c>
      <c r="H223" t="s">
        <v>226</v>
      </c>
      <c r="R223" s="7" t="s">
        <v>184</v>
      </c>
      <c r="S223" t="s">
        <v>185</v>
      </c>
      <c r="T223" t="s">
        <v>186</v>
      </c>
    </row>
    <row r="224" spans="1:25" ht="16">
      <c r="A224" t="s">
        <v>187</v>
      </c>
      <c r="B224" t="str">
        <f t="shared" si="8"/>
        <v>rura</v>
      </c>
      <c r="C224" t="str">
        <f t="shared" si="9"/>
        <v>l area</v>
      </c>
      <c r="H224" t="s">
        <v>227</v>
      </c>
      <c r="R224" s="7" t="s">
        <v>187</v>
      </c>
      <c r="S224" t="s">
        <v>188</v>
      </c>
      <c r="T224" t="s">
        <v>189</v>
      </c>
    </row>
    <row r="225" spans="1:21" ht="16">
      <c r="A225" t="s">
        <v>190</v>
      </c>
      <c r="B225" t="str">
        <f t="shared" si="8"/>
        <v>[0]not rural area</v>
      </c>
      <c r="C225" t="str">
        <f t="shared" si="9"/>
        <v>[1]rural area</v>
      </c>
      <c r="H225" t="s">
        <v>228</v>
      </c>
      <c r="R225" s="7" t="s">
        <v>190</v>
      </c>
      <c r="S225" t="s">
        <v>191</v>
      </c>
      <c r="T225" t="s">
        <v>192</v>
      </c>
    </row>
    <row r="226" spans="1:21" ht="16">
      <c r="A226" t="s">
        <v>193</v>
      </c>
      <c r="B226" t="str">
        <f t="shared" si="8"/>
        <v>------------------</v>
      </c>
      <c r="C226" t="str">
        <f t="shared" si="9"/>
        <v>-------------------</v>
      </c>
      <c r="H226" t="s">
        <v>229</v>
      </c>
      <c r="R226" s="7" t="s">
        <v>193</v>
      </c>
      <c r="S226" t="s">
        <v>185</v>
      </c>
      <c r="T226" t="s">
        <v>186</v>
      </c>
    </row>
    <row r="227" spans="1:21" ht="16">
      <c r="A227" t="s">
        <v>194</v>
      </c>
      <c r="B227">
        <f t="shared" si="8"/>
        <v>0.1177353</v>
      </c>
      <c r="C227">
        <f t="shared" si="9"/>
        <v>2.3752800000000001E-2</v>
      </c>
      <c r="H227" t="s">
        <v>354</v>
      </c>
      <c r="R227" s="7" t="s">
        <v>194</v>
      </c>
      <c r="S227">
        <v>0.1177353</v>
      </c>
      <c r="T227">
        <v>2.3752800000000001E-2</v>
      </c>
    </row>
    <row r="228" spans="1:21" ht="16">
      <c r="A228" t="s">
        <v>195</v>
      </c>
      <c r="B228">
        <f t="shared" si="8"/>
        <v>7.5724200000000005E-2</v>
      </c>
      <c r="C228">
        <f t="shared" si="9"/>
        <v>1.36454E-2</v>
      </c>
      <c r="H228" t="s">
        <v>355</v>
      </c>
      <c r="R228" s="7" t="s">
        <v>195</v>
      </c>
      <c r="S228">
        <v>7.5724200000000005E-2</v>
      </c>
      <c r="T228">
        <v>1.36454E-2</v>
      </c>
    </row>
    <row r="229" spans="1:21" ht="16">
      <c r="A229" t="s">
        <v>196</v>
      </c>
      <c r="B229">
        <f t="shared" si="8"/>
        <v>8.6546399999999996E-2</v>
      </c>
      <c r="C229">
        <f t="shared" si="9"/>
        <v>1.4671699999999999E-2</v>
      </c>
      <c r="H229" t="s">
        <v>356</v>
      </c>
      <c r="R229" s="7" t="s">
        <v>196</v>
      </c>
      <c r="S229">
        <v>8.6546399999999996E-2</v>
      </c>
      <c r="T229">
        <v>1.4671699999999999E-2</v>
      </c>
    </row>
    <row r="230" spans="1:21" ht="16">
      <c r="A230" t="s">
        <v>197</v>
      </c>
      <c r="B230">
        <f t="shared" si="8"/>
        <v>0.10155450000000001</v>
      </c>
      <c r="C230">
        <f t="shared" si="9"/>
        <v>1.2086E-2</v>
      </c>
      <c r="H230" t="s">
        <v>357</v>
      </c>
      <c r="R230" s="7" t="s">
        <v>197</v>
      </c>
      <c r="S230">
        <v>0.10155450000000001</v>
      </c>
      <c r="T230">
        <v>1.2086E-2</v>
      </c>
    </row>
    <row r="231" spans="1:21" ht="16">
      <c r="A231" t="s">
        <v>198</v>
      </c>
      <c r="B231">
        <f t="shared" si="8"/>
        <v>0.1054495</v>
      </c>
      <c r="C231">
        <f t="shared" si="9"/>
        <v>1.06614E-2</v>
      </c>
      <c r="H231" t="s">
        <v>358</v>
      </c>
      <c r="R231" s="7" t="s">
        <v>198</v>
      </c>
      <c r="S231">
        <v>0.1054495</v>
      </c>
      <c r="T231">
        <v>1.06614E-2</v>
      </c>
    </row>
    <row r="232" spans="1:21" ht="16">
      <c r="A232" t="s">
        <v>199</v>
      </c>
      <c r="B232">
        <f t="shared" si="8"/>
        <v>0.1039524</v>
      </c>
      <c r="C232">
        <f t="shared" si="9"/>
        <v>1.56373E-2</v>
      </c>
      <c r="H232" t="s">
        <v>359</v>
      </c>
      <c r="R232" s="7" t="s">
        <v>199</v>
      </c>
      <c r="S232">
        <v>0.1039524</v>
      </c>
      <c r="T232">
        <v>1.56373E-2</v>
      </c>
    </row>
    <row r="233" spans="1:21" ht="16">
      <c r="A233" t="s">
        <v>200</v>
      </c>
      <c r="B233">
        <f t="shared" si="8"/>
        <v>0.1107659</v>
      </c>
      <c r="C233">
        <f t="shared" si="9"/>
        <v>8.0365999999999996E-3</v>
      </c>
      <c r="H233" t="s">
        <v>360</v>
      </c>
      <c r="R233" s="7" t="s">
        <v>200</v>
      </c>
      <c r="S233">
        <v>0.1107659</v>
      </c>
      <c r="T233">
        <v>8.0365999999999996E-3</v>
      </c>
    </row>
    <row r="234" spans="1:21" ht="16">
      <c r="A234" t="s">
        <v>201</v>
      </c>
      <c r="B234">
        <f t="shared" si="8"/>
        <v>0.1206641</v>
      </c>
      <c r="C234">
        <f t="shared" si="9"/>
        <v>1.3777299999999999E-2</v>
      </c>
      <c r="H234" t="s">
        <v>361</v>
      </c>
      <c r="R234" s="7" t="s">
        <v>201</v>
      </c>
      <c r="S234">
        <v>0.1206641</v>
      </c>
      <c r="T234">
        <v>1.3777299999999999E-2</v>
      </c>
    </row>
    <row r="235" spans="1:21" ht="16">
      <c r="A235" t="s">
        <v>202</v>
      </c>
      <c r="B235">
        <f t="shared" si="8"/>
        <v>0.14309150000000001</v>
      </c>
      <c r="C235">
        <f t="shared" si="9"/>
        <v>2.3614E-2</v>
      </c>
      <c r="H235" t="s">
        <v>362</v>
      </c>
      <c r="R235" s="7" t="s">
        <v>202</v>
      </c>
      <c r="S235">
        <v>0.14309150000000001</v>
      </c>
      <c r="T235">
        <v>2.3614E-2</v>
      </c>
    </row>
    <row r="236" spans="1:21" ht="16">
      <c r="A236" t="s">
        <v>203</v>
      </c>
      <c r="B236">
        <f t="shared" si="8"/>
        <v>0.19894110000000001</v>
      </c>
      <c r="C236">
        <f t="shared" si="9"/>
        <v>4.6488700000000001E-2</v>
      </c>
      <c r="H236" t="s">
        <v>363</v>
      </c>
      <c r="R236" s="7" t="s">
        <v>203</v>
      </c>
      <c r="S236">
        <v>0.19894110000000001</v>
      </c>
      <c r="T236">
        <v>4.6488700000000001E-2</v>
      </c>
    </row>
    <row r="237" spans="1:21" ht="16">
      <c r="A237" t="s">
        <v>184</v>
      </c>
      <c r="B237" t="str">
        <f t="shared" si="8"/>
        <v>------------------</v>
      </c>
      <c r="C237" t="str">
        <f t="shared" si="9"/>
        <v>-------------------</v>
      </c>
      <c r="H237" t="s">
        <v>226</v>
      </c>
      <c r="R237" s="7" t="s">
        <v>184</v>
      </c>
      <c r="S237" t="s">
        <v>185</v>
      </c>
      <c r="T237" t="s">
        <v>186</v>
      </c>
    </row>
    <row r="238" spans="1:21">
      <c r="B238">
        <f t="shared" ref="B238:B254" si="10">S238</f>
        <v>0</v>
      </c>
      <c r="C238">
        <f t="shared" ref="C238:C254" si="11">T238</f>
        <v>0</v>
      </c>
    </row>
    <row r="239" spans="1:21" ht="16">
      <c r="A239" t="s">
        <v>180</v>
      </c>
      <c r="B239" t="str">
        <f t="shared" si="10"/>
        <v>uc1 rural [aw=ppop</v>
      </c>
      <c r="C239" t="str">
        <f t="shared" si="11"/>
        <v>wgt], c(mean tertia</v>
      </c>
      <c r="D239" t="s">
        <v>224</v>
      </c>
      <c r="H239" t="s">
        <v>364</v>
      </c>
      <c r="R239" s="7" t="s">
        <v>180</v>
      </c>
      <c r="S239" t="s">
        <v>415</v>
      </c>
      <c r="T239" t="s">
        <v>223</v>
      </c>
      <c r="U239" t="s">
        <v>224</v>
      </c>
    </row>
    <row r="240" spans="1:21" ht="16">
      <c r="B240">
        <f t="shared" si="10"/>
        <v>0</v>
      </c>
      <c r="C240">
        <f t="shared" si="11"/>
        <v>0</v>
      </c>
      <c r="R240" s="7"/>
    </row>
    <row r="241" spans="1:20">
      <c r="A241" t="s">
        <v>184</v>
      </c>
      <c r="B241" t="str">
        <f t="shared" si="10"/>
        <v>------------------</v>
      </c>
      <c r="C241" t="str">
        <f t="shared" si="11"/>
        <v>-------------------</v>
      </c>
      <c r="H241" t="s">
        <v>226</v>
      </c>
      <c r="R241" t="s">
        <v>184</v>
      </c>
      <c r="S241" t="s">
        <v>185</v>
      </c>
      <c r="T241" t="s">
        <v>186</v>
      </c>
    </row>
    <row r="242" spans="1:20" ht="16">
      <c r="A242" t="s">
        <v>187</v>
      </c>
      <c r="B242" t="str">
        <f t="shared" si="10"/>
        <v>rura</v>
      </c>
      <c r="C242" t="str">
        <f t="shared" si="11"/>
        <v>l area</v>
      </c>
      <c r="H242" t="s">
        <v>227</v>
      </c>
      <c r="R242" s="7" t="s">
        <v>187</v>
      </c>
      <c r="S242" t="s">
        <v>188</v>
      </c>
      <c r="T242" t="s">
        <v>189</v>
      </c>
    </row>
    <row r="243" spans="1:20" ht="16">
      <c r="A243" t="s">
        <v>190</v>
      </c>
      <c r="B243" t="str">
        <f t="shared" si="10"/>
        <v>[0]not rural area</v>
      </c>
      <c r="C243" t="str">
        <f t="shared" si="11"/>
        <v>[1]rural area</v>
      </c>
      <c r="H243" t="s">
        <v>228</v>
      </c>
      <c r="R243" s="7" t="s">
        <v>190</v>
      </c>
      <c r="S243" t="s">
        <v>191</v>
      </c>
      <c r="T243" t="s">
        <v>192</v>
      </c>
    </row>
    <row r="244" spans="1:20" ht="16">
      <c r="A244" t="s">
        <v>193</v>
      </c>
      <c r="B244" t="str">
        <f t="shared" si="10"/>
        <v>------------------</v>
      </c>
      <c r="C244" t="str">
        <f t="shared" si="11"/>
        <v>-------------------</v>
      </c>
      <c r="H244" t="s">
        <v>229</v>
      </c>
      <c r="R244" s="7" t="s">
        <v>193</v>
      </c>
      <c r="S244" t="s">
        <v>185</v>
      </c>
      <c r="T244" t="s">
        <v>186</v>
      </c>
    </row>
    <row r="245" spans="1:20" ht="16">
      <c r="A245" t="s">
        <v>194</v>
      </c>
      <c r="B245">
        <f t="shared" si="10"/>
        <v>7.3413999999999997E-3</v>
      </c>
      <c r="C245">
        <f t="shared" si="11"/>
        <v>0</v>
      </c>
      <c r="H245" t="s">
        <v>365</v>
      </c>
      <c r="R245" s="7" t="s">
        <v>194</v>
      </c>
      <c r="S245">
        <v>7.3413999999999997E-3</v>
      </c>
      <c r="T245">
        <v>0</v>
      </c>
    </row>
    <row r="246" spans="1:20" ht="16">
      <c r="A246" t="s">
        <v>195</v>
      </c>
      <c r="B246">
        <f t="shared" si="10"/>
        <v>1.6364999999999999E-3</v>
      </c>
      <c r="C246">
        <f t="shared" si="11"/>
        <v>2.4570000000000001E-4</v>
      </c>
      <c r="H246" t="s">
        <v>366</v>
      </c>
      <c r="R246" s="7" t="s">
        <v>195</v>
      </c>
      <c r="S246">
        <v>1.6364999999999999E-3</v>
      </c>
      <c r="T246">
        <v>2.4570000000000001E-4</v>
      </c>
    </row>
    <row r="247" spans="1:20" ht="16">
      <c r="A247" t="s">
        <v>196</v>
      </c>
      <c r="B247">
        <f t="shared" si="10"/>
        <v>8.4527999999999999E-3</v>
      </c>
      <c r="C247">
        <f t="shared" si="11"/>
        <v>2.441E-4</v>
      </c>
      <c r="H247" t="s">
        <v>367</v>
      </c>
      <c r="R247" s="7" t="s">
        <v>196</v>
      </c>
      <c r="S247">
        <v>8.4527999999999999E-3</v>
      </c>
      <c r="T247">
        <v>2.441E-4</v>
      </c>
    </row>
    <row r="248" spans="1:20" ht="16">
      <c r="A248" t="s">
        <v>197</v>
      </c>
      <c r="B248">
        <f t="shared" si="10"/>
        <v>4.7365999999999997E-3</v>
      </c>
      <c r="C248">
        <f t="shared" si="11"/>
        <v>2.5369999999999999E-4</v>
      </c>
      <c r="H248" t="s">
        <v>368</v>
      </c>
      <c r="R248" s="7" t="s">
        <v>197</v>
      </c>
      <c r="S248">
        <v>4.7365999999999997E-3</v>
      </c>
      <c r="T248">
        <v>2.5369999999999999E-4</v>
      </c>
    </row>
    <row r="249" spans="1:20" ht="16">
      <c r="A249" t="s">
        <v>198</v>
      </c>
      <c r="B249">
        <f t="shared" si="10"/>
        <v>6.6236000000000003E-3</v>
      </c>
      <c r="C249">
        <f t="shared" si="11"/>
        <v>0</v>
      </c>
      <c r="H249" t="s">
        <v>369</v>
      </c>
      <c r="R249" s="7" t="s">
        <v>198</v>
      </c>
      <c r="S249">
        <v>6.6236000000000003E-3</v>
      </c>
      <c r="T249">
        <v>0</v>
      </c>
    </row>
    <row r="250" spans="1:20" ht="16">
      <c r="A250" t="s">
        <v>199</v>
      </c>
      <c r="B250">
        <f t="shared" si="10"/>
        <v>1.0165199999999999E-2</v>
      </c>
      <c r="C250">
        <f t="shared" si="11"/>
        <v>7.5210000000000001E-4</v>
      </c>
      <c r="H250" t="s">
        <v>370</v>
      </c>
      <c r="R250" s="7" t="s">
        <v>199</v>
      </c>
      <c r="S250">
        <v>1.0165199999999999E-2</v>
      </c>
      <c r="T250">
        <v>7.5210000000000001E-4</v>
      </c>
    </row>
    <row r="251" spans="1:20" ht="16">
      <c r="A251" t="s">
        <v>200</v>
      </c>
      <c r="B251">
        <f t="shared" si="10"/>
        <v>1.1465100000000001E-2</v>
      </c>
      <c r="C251">
        <f t="shared" si="11"/>
        <v>2.5549999999999998E-4</v>
      </c>
      <c r="H251" t="s">
        <v>371</v>
      </c>
      <c r="R251" s="7" t="s">
        <v>200</v>
      </c>
      <c r="S251">
        <v>1.1465100000000001E-2</v>
      </c>
      <c r="T251">
        <v>2.5549999999999998E-4</v>
      </c>
    </row>
    <row r="252" spans="1:20" ht="16">
      <c r="A252" t="s">
        <v>201</v>
      </c>
      <c r="B252">
        <f t="shared" si="10"/>
        <v>2.1244300000000001E-2</v>
      </c>
      <c r="C252">
        <f t="shared" si="11"/>
        <v>8.5349999999999998E-4</v>
      </c>
      <c r="H252" t="s">
        <v>372</v>
      </c>
      <c r="R252" s="7" t="s">
        <v>201</v>
      </c>
      <c r="S252">
        <v>2.1244300000000001E-2</v>
      </c>
      <c r="T252">
        <v>8.5349999999999998E-4</v>
      </c>
    </row>
    <row r="253" spans="1:20" ht="16">
      <c r="A253" t="s">
        <v>202</v>
      </c>
      <c r="B253">
        <f t="shared" si="10"/>
        <v>3.1799599999999997E-2</v>
      </c>
      <c r="C253">
        <f t="shared" si="11"/>
        <v>3.3723E-3</v>
      </c>
      <c r="H253" t="s">
        <v>373</v>
      </c>
      <c r="R253" s="7" t="s">
        <v>202</v>
      </c>
      <c r="S253">
        <v>3.1799599999999997E-2</v>
      </c>
      <c r="T253">
        <v>3.3723E-3</v>
      </c>
    </row>
    <row r="254" spans="1:20" ht="16">
      <c r="A254" t="s">
        <v>203</v>
      </c>
      <c r="B254">
        <f t="shared" si="10"/>
        <v>0.1093775</v>
      </c>
      <c r="C254">
        <f t="shared" si="11"/>
        <v>4.8015000000000002E-3</v>
      </c>
      <c r="H254" t="s">
        <v>374</v>
      </c>
      <c r="R254" s="7" t="s">
        <v>203</v>
      </c>
      <c r="S254">
        <v>0.1093775</v>
      </c>
      <c r="T254">
        <v>4.8015000000000002E-3</v>
      </c>
    </row>
    <row r="255" spans="1:20" ht="16">
      <c r="A255" t="s">
        <v>184</v>
      </c>
      <c r="B255" t="s">
        <v>185</v>
      </c>
      <c r="C255" t="s">
        <v>186</v>
      </c>
      <c r="H255" t="s">
        <v>226</v>
      </c>
      <c r="R255" s="7" t="s">
        <v>184</v>
      </c>
      <c r="S255" t="s">
        <v>185</v>
      </c>
      <c r="T255" t="s">
        <v>186</v>
      </c>
    </row>
    <row r="256" spans="1:20" ht="16">
      <c r="R256" s="7"/>
    </row>
    <row r="257" spans="2:19">
      <c r="R257" t="s">
        <v>389</v>
      </c>
    </row>
    <row r="258" spans="2:19" ht="16">
      <c r="R258" s="7" t="s">
        <v>390</v>
      </c>
    </row>
    <row r="260" spans="2:19" ht="16">
      <c r="R260" s="7" t="s">
        <v>186</v>
      </c>
      <c r="S260" t="s">
        <v>184</v>
      </c>
    </row>
    <row r="261" spans="2:19" ht="16">
      <c r="R261" s="7" t="s">
        <v>437</v>
      </c>
      <c r="S261" t="s">
        <v>442</v>
      </c>
    </row>
    <row r="262" spans="2:19" ht="16">
      <c r="R262" s="7" t="s">
        <v>439</v>
      </c>
      <c r="S262" t="s">
        <v>184</v>
      </c>
    </row>
    <row r="263" spans="2:19" ht="16">
      <c r="B263">
        <f>S263</f>
        <v>0.102159</v>
      </c>
      <c r="C263">
        <f>S264</f>
        <v>0.17003499999999999</v>
      </c>
      <c r="R263" s="7" t="s">
        <v>440</v>
      </c>
      <c r="S263">
        <v>0.102159</v>
      </c>
    </row>
    <row r="264" spans="2:19" ht="16">
      <c r="R264" s="7" t="s">
        <v>441</v>
      </c>
      <c r="S264">
        <v>0.17003499999999999</v>
      </c>
    </row>
    <row r="265" spans="2:19" ht="16">
      <c r="R265" s="7" t="s">
        <v>186</v>
      </c>
      <c r="S265" t="s">
        <v>184</v>
      </c>
    </row>
    <row r="266" spans="2:19" ht="16">
      <c r="R266" s="7"/>
    </row>
    <row r="267" spans="2:19" ht="16">
      <c r="R267" s="7" t="s">
        <v>404</v>
      </c>
    </row>
    <row r="268" spans="2:19" ht="16">
      <c r="R268" s="7" t="s">
        <v>391</v>
      </c>
    </row>
    <row r="269" spans="2:19" ht="16">
      <c r="R269" s="7" t="s">
        <v>392</v>
      </c>
    </row>
    <row r="270" spans="2:19" ht="16">
      <c r="R270" s="7" t="s">
        <v>446</v>
      </c>
    </row>
    <row r="271" spans="2:19" ht="16">
      <c r="R271" s="7" t="s">
        <v>392</v>
      </c>
    </row>
    <row r="272" spans="2:19" ht="16">
      <c r="R272" s="7" t="s">
        <v>393</v>
      </c>
    </row>
    <row r="273" spans="18:18" ht="16">
      <c r="R273" s="7"/>
    </row>
    <row r="274" spans="18:18" ht="16">
      <c r="R274" s="7" t="s">
        <v>394</v>
      </c>
    </row>
    <row r="275" spans="18:18">
      <c r="R275" t="s">
        <v>395</v>
      </c>
    </row>
    <row r="276" spans="18:18" ht="16">
      <c r="R276" s="7" t="s">
        <v>396</v>
      </c>
    </row>
    <row r="277" spans="18:18">
      <c r="R277" t="s">
        <v>447</v>
      </c>
    </row>
    <row r="278" spans="18:18" ht="16">
      <c r="R278" s="7" t="s">
        <v>394</v>
      </c>
    </row>
    <row r="279" spans="18:18" ht="16">
      <c r="R279" s="7" t="s">
        <v>397</v>
      </c>
    </row>
    <row r="280" spans="18:18" ht="16">
      <c r="R280" s="7" t="s">
        <v>398</v>
      </c>
    </row>
    <row r="281" spans="18:18" ht="16">
      <c r="R281" s="7"/>
    </row>
    <row r="282" spans="18:18" ht="16">
      <c r="R282" s="7" t="s">
        <v>399</v>
      </c>
    </row>
    <row r="283" spans="18:18" ht="16">
      <c r="R283" s="7" t="s">
        <v>400</v>
      </c>
    </row>
    <row r="284" spans="18:18" ht="16">
      <c r="R284" s="7" t="s">
        <v>401</v>
      </c>
    </row>
    <row r="285" spans="18:18" ht="16">
      <c r="R285" s="7" t="s">
        <v>448</v>
      </c>
    </row>
    <row r="286" spans="18:18" ht="16">
      <c r="R286" s="7" t="s">
        <v>399</v>
      </c>
    </row>
    <row r="287" spans="18:18" ht="16">
      <c r="R287" s="7" t="s">
        <v>397</v>
      </c>
    </row>
    <row r="288" spans="18:18" ht="16">
      <c r="R288" s="7" t="s">
        <v>405</v>
      </c>
    </row>
    <row r="289" spans="2:20" ht="16">
      <c r="R289" s="7" t="s">
        <v>397</v>
      </c>
    </row>
    <row r="290" spans="2:20" ht="16">
      <c r="R290" s="7"/>
    </row>
    <row r="291" spans="2:20" ht="16">
      <c r="R291" s="7" t="s">
        <v>406</v>
      </c>
    </row>
    <row r="292" spans="2:20" ht="16">
      <c r="R292" s="7" t="s">
        <v>407</v>
      </c>
    </row>
    <row r="293" spans="2:20">
      <c r="R293" t="s">
        <v>408</v>
      </c>
    </row>
    <row r="294" spans="2:20" ht="16">
      <c r="R294" s="7" t="s">
        <v>449</v>
      </c>
    </row>
    <row r="295" spans="2:20">
      <c r="R295" t="s">
        <v>450</v>
      </c>
    </row>
    <row r="296" spans="2:20" ht="16">
      <c r="R296" s="7" t="s">
        <v>451</v>
      </c>
    </row>
    <row r="297" spans="2:20" ht="16">
      <c r="R297" s="7" t="s">
        <v>406</v>
      </c>
    </row>
    <row r="298" spans="2:20" ht="16">
      <c r="R298" s="7" t="s">
        <v>397</v>
      </c>
    </row>
    <row r="299" spans="2:20" ht="16">
      <c r="R299" s="7" t="s">
        <v>409</v>
      </c>
    </row>
    <row r="300" spans="2:20" ht="16">
      <c r="R300" s="7"/>
    </row>
    <row r="301" spans="2:20" ht="16">
      <c r="R301" s="7" t="s">
        <v>186</v>
      </c>
      <c r="S301" t="s">
        <v>184</v>
      </c>
      <c r="T301" t="s">
        <v>445</v>
      </c>
    </row>
    <row r="302" spans="2:20" ht="16">
      <c r="R302" s="7" t="s">
        <v>437</v>
      </c>
      <c r="S302" t="s">
        <v>443</v>
      </c>
      <c r="T302" t="s">
        <v>444</v>
      </c>
    </row>
    <row r="303" spans="2:20" ht="16">
      <c r="B303">
        <f>T304</f>
        <v>0.43478</v>
      </c>
      <c r="C303">
        <f>T305</f>
        <v>0.36775999999999998</v>
      </c>
      <c r="R303" s="7" t="s">
        <v>439</v>
      </c>
      <c r="S303" t="s">
        <v>184</v>
      </c>
      <c r="T303" t="s">
        <v>445</v>
      </c>
    </row>
    <row r="304" spans="2:20" ht="16">
      <c r="R304" s="7" t="s">
        <v>440</v>
      </c>
      <c r="S304">
        <v>0.56881000000000004</v>
      </c>
      <c r="T304">
        <v>0.43478</v>
      </c>
    </row>
    <row r="305" spans="18:20" ht="16">
      <c r="R305" s="7" t="s">
        <v>441</v>
      </c>
      <c r="S305">
        <v>0.34881000000000001</v>
      </c>
      <c r="T305">
        <v>0.36775999999999998</v>
      </c>
    </row>
    <row r="306" spans="18:20" ht="16">
      <c r="R306" s="7" t="s">
        <v>454</v>
      </c>
    </row>
    <row r="307" spans="18:20" ht="16">
      <c r="R307" s="7" t="s">
        <v>186</v>
      </c>
      <c r="S307" t="s">
        <v>184</v>
      </c>
      <c r="T307" t="s">
        <v>445</v>
      </c>
    </row>
    <row r="308" spans="18:20" ht="16">
      <c r="R308" s="7" t="s">
        <v>397</v>
      </c>
    </row>
    <row r="309" spans="18:20" ht="16">
      <c r="R309" s="7" t="s">
        <v>410</v>
      </c>
    </row>
    <row r="310" spans="18:20" ht="16">
      <c r="R310" s="7"/>
    </row>
    <row r="311" spans="18:20">
      <c r="R311" t="s">
        <v>411</v>
      </c>
    </row>
    <row r="312" spans="18:20" ht="16">
      <c r="R312" s="7" t="s">
        <v>412</v>
      </c>
    </row>
    <row r="313" spans="18:20">
      <c r="R313" t="s">
        <v>413</v>
      </c>
    </row>
    <row r="314" spans="18:20" ht="16">
      <c r="R314" s="7" t="s">
        <v>452</v>
      </c>
    </row>
    <row r="315" spans="18:20" ht="16">
      <c r="R315" s="7" t="s">
        <v>411</v>
      </c>
    </row>
    <row r="316" spans="18:20" ht="16">
      <c r="R316" s="7" t="s">
        <v>397</v>
      </c>
    </row>
    <row r="317" spans="18:20" ht="16">
      <c r="R317" s="7" t="s">
        <v>414</v>
      </c>
    </row>
    <row r="318" spans="18:20" ht="16">
      <c r="R318" s="7"/>
    </row>
    <row r="319" spans="18:20" ht="16">
      <c r="R319" s="7" t="s">
        <v>411</v>
      </c>
    </row>
    <row r="320" spans="18:20" ht="16">
      <c r="R320" s="7" t="s">
        <v>412</v>
      </c>
    </row>
    <row r="321" spans="2:20" ht="16">
      <c r="R321" s="7" t="s">
        <v>413</v>
      </c>
    </row>
    <row r="322" spans="2:20" ht="16">
      <c r="R322" s="7" t="s">
        <v>453</v>
      </c>
    </row>
    <row r="323" spans="2:20" ht="16">
      <c r="R323" s="7" t="s">
        <v>411</v>
      </c>
    </row>
    <row r="324" spans="2:20" ht="16">
      <c r="R324" s="7"/>
    </row>
    <row r="325" spans="2:20" ht="16">
      <c r="R325" s="7" t="s">
        <v>402</v>
      </c>
    </row>
    <row r="326" spans="2:20" ht="16">
      <c r="R326" s="7" t="s">
        <v>227</v>
      </c>
    </row>
    <row r="327" spans="2:20">
      <c r="R327" t="s">
        <v>228</v>
      </c>
    </row>
    <row r="328" spans="2:20" ht="16">
      <c r="R328" s="7" t="s">
        <v>193</v>
      </c>
      <c r="S328" t="s">
        <v>185</v>
      </c>
      <c r="T328" t="s">
        <v>186</v>
      </c>
    </row>
    <row r="329" spans="2:20" ht="16">
      <c r="B329">
        <f>S329</f>
        <v>9.3390140533447301</v>
      </c>
      <c r="C329">
        <f>T329</f>
        <v>14.0464544296265</v>
      </c>
      <c r="R329" s="7" t="s">
        <v>194</v>
      </c>
      <c r="S329">
        <v>9.3390140533447301</v>
      </c>
      <c r="T329">
        <v>14.0464544296265</v>
      </c>
    </row>
    <row r="330" spans="2:20">
      <c r="B330">
        <f t="shared" ref="B330:B338" si="12">S330</f>
        <v>10.062803268432599</v>
      </c>
      <c r="C330">
        <f t="shared" ref="C330:C338" si="13">T330</f>
        <v>12.158810615539601</v>
      </c>
      <c r="R330" t="s">
        <v>195</v>
      </c>
      <c r="S330">
        <v>10.062803268432599</v>
      </c>
      <c r="T330">
        <v>12.158810615539601</v>
      </c>
    </row>
    <row r="331" spans="2:20" ht="16">
      <c r="B331">
        <f t="shared" si="12"/>
        <v>9.5477943420410192</v>
      </c>
      <c r="C331">
        <f t="shared" si="13"/>
        <v>11.130861282348601</v>
      </c>
      <c r="R331" s="7" t="s">
        <v>196</v>
      </c>
      <c r="S331">
        <v>9.5477943420410192</v>
      </c>
      <c r="T331">
        <v>11.130861282348601</v>
      </c>
    </row>
    <row r="332" spans="2:20" ht="16">
      <c r="B332">
        <f t="shared" si="12"/>
        <v>9.7193126678466797</v>
      </c>
      <c r="C332">
        <f t="shared" si="13"/>
        <v>12.047427177429199</v>
      </c>
      <c r="R332" s="7" t="s">
        <v>197</v>
      </c>
      <c r="S332">
        <v>9.7193126678466797</v>
      </c>
      <c r="T332">
        <v>12.047427177429199</v>
      </c>
    </row>
    <row r="333" spans="2:20" ht="16">
      <c r="B333">
        <f t="shared" si="12"/>
        <v>9.8873767852783203</v>
      </c>
      <c r="C333">
        <f t="shared" si="13"/>
        <v>11.6339359283447</v>
      </c>
      <c r="R333" s="7" t="s">
        <v>198</v>
      </c>
      <c r="S333">
        <v>9.8873767852783203</v>
      </c>
      <c r="T333">
        <v>11.6339359283447</v>
      </c>
    </row>
    <row r="334" spans="2:20" ht="16">
      <c r="B334">
        <f t="shared" si="12"/>
        <v>9.9531011581420898</v>
      </c>
      <c r="C334">
        <f t="shared" si="13"/>
        <v>12.0401210784912</v>
      </c>
      <c r="R334" s="7" t="s">
        <v>199</v>
      </c>
      <c r="S334">
        <v>9.9531011581420898</v>
      </c>
      <c r="T334">
        <v>12.0401210784912</v>
      </c>
    </row>
    <row r="335" spans="2:20" ht="16">
      <c r="B335">
        <f t="shared" si="12"/>
        <v>9.7399559020996094</v>
      </c>
      <c r="C335">
        <f t="shared" si="13"/>
        <v>11.9469995498657</v>
      </c>
      <c r="R335" s="7" t="s">
        <v>200</v>
      </c>
      <c r="S335">
        <v>9.7399559020996094</v>
      </c>
      <c r="T335">
        <v>11.9469995498657</v>
      </c>
    </row>
    <row r="336" spans="2:20" ht="16">
      <c r="B336">
        <f t="shared" si="12"/>
        <v>9.3335037231445295</v>
      </c>
      <c r="C336">
        <f t="shared" si="13"/>
        <v>9.9172468185424805</v>
      </c>
      <c r="R336" s="7" t="s">
        <v>201</v>
      </c>
      <c r="S336">
        <v>9.3335037231445295</v>
      </c>
      <c r="T336">
        <v>9.9172468185424805</v>
      </c>
    </row>
    <row r="337" spans="2:21">
      <c r="B337">
        <f t="shared" si="12"/>
        <v>8.4782581329345703</v>
      </c>
      <c r="C337">
        <f t="shared" si="13"/>
        <v>10.5500192642212</v>
      </c>
      <c r="R337" t="s">
        <v>202</v>
      </c>
      <c r="S337">
        <v>8.4782581329345703</v>
      </c>
      <c r="T337">
        <v>10.5500192642212</v>
      </c>
    </row>
    <row r="338" spans="2:21" ht="16">
      <c r="B338">
        <f t="shared" si="12"/>
        <v>7.3237643241882298</v>
      </c>
      <c r="C338">
        <f t="shared" si="13"/>
        <v>7.9869923591613796</v>
      </c>
      <c r="R338" s="7" t="s">
        <v>203</v>
      </c>
      <c r="S338">
        <v>7.3237643241882298</v>
      </c>
      <c r="T338">
        <v>7.9869923591613796</v>
      </c>
    </row>
    <row r="339" spans="2:21" ht="16">
      <c r="R339" s="7" t="s">
        <v>184</v>
      </c>
      <c r="S339" t="s">
        <v>185</v>
      </c>
      <c r="T339" t="s">
        <v>186</v>
      </c>
    </row>
    <row r="340" spans="2:21" ht="16">
      <c r="R340" s="7"/>
    </row>
    <row r="341" spans="2:21" ht="16">
      <c r="R341" s="7" t="s">
        <v>180</v>
      </c>
      <c r="S341" t="s">
        <v>415</v>
      </c>
      <c r="T341" t="s">
        <v>432</v>
      </c>
      <c r="U341" t="s">
        <v>433</v>
      </c>
    </row>
    <row r="342" spans="2:21" ht="16">
      <c r="R342" s="7"/>
    </row>
    <row r="343" spans="2:21" ht="16">
      <c r="R343" s="7" t="s">
        <v>184</v>
      </c>
      <c r="S343" t="s">
        <v>185</v>
      </c>
      <c r="T343" t="s">
        <v>186</v>
      </c>
    </row>
    <row r="344" spans="2:21">
      <c r="R344" t="s">
        <v>187</v>
      </c>
      <c r="S344" t="s">
        <v>188</v>
      </c>
      <c r="T344" t="s">
        <v>189</v>
      </c>
    </row>
    <row r="345" spans="2:21" ht="16">
      <c r="R345" s="7" t="s">
        <v>190</v>
      </c>
      <c r="S345" t="s">
        <v>191</v>
      </c>
      <c r="T345" t="s">
        <v>192</v>
      </c>
    </row>
    <row r="346" spans="2:21" ht="16">
      <c r="R346" s="7" t="s">
        <v>193</v>
      </c>
      <c r="S346" t="s">
        <v>185</v>
      </c>
      <c r="T346" t="s">
        <v>186</v>
      </c>
    </row>
    <row r="347" spans="2:21" ht="16">
      <c r="B347" s="5">
        <f>S347</f>
        <v>311919.09999999998</v>
      </c>
      <c r="C347" s="5">
        <f>T347</f>
        <v>159281.1</v>
      </c>
      <c r="R347" s="7" t="s">
        <v>194</v>
      </c>
      <c r="S347">
        <v>311919.09999999998</v>
      </c>
      <c r="T347">
        <v>159281.1</v>
      </c>
    </row>
    <row r="348" spans="2:21" ht="16">
      <c r="B348" s="5">
        <f t="shared" ref="B348:B356" si="14">S348</f>
        <v>228638.4</v>
      </c>
      <c r="C348" s="5">
        <f t="shared" ref="C348:C356" si="15">T348</f>
        <v>166284.6</v>
      </c>
      <c r="R348" s="7" t="s">
        <v>195</v>
      </c>
      <c r="S348">
        <v>228638.4</v>
      </c>
      <c r="T348">
        <v>166284.6</v>
      </c>
    </row>
    <row r="349" spans="2:21" ht="16">
      <c r="B349" s="5">
        <f t="shared" si="14"/>
        <v>249920.9</v>
      </c>
      <c r="C349" s="5">
        <f t="shared" si="15"/>
        <v>155414.9</v>
      </c>
      <c r="R349" s="7" t="s">
        <v>196</v>
      </c>
      <c r="S349">
        <v>249920.9</v>
      </c>
      <c r="T349">
        <v>155414.9</v>
      </c>
    </row>
    <row r="350" spans="2:21" ht="16">
      <c r="B350" s="5">
        <f t="shared" si="14"/>
        <v>283565.09999999998</v>
      </c>
      <c r="C350" s="5">
        <f t="shared" si="15"/>
        <v>161025.79999999999</v>
      </c>
      <c r="R350" s="7" t="s">
        <v>197</v>
      </c>
      <c r="S350">
        <v>283565.09999999998</v>
      </c>
      <c r="T350">
        <v>161025.79999999999</v>
      </c>
    </row>
    <row r="351" spans="2:21" ht="16">
      <c r="B351" s="5">
        <f t="shared" si="14"/>
        <v>286866.59999999998</v>
      </c>
      <c r="C351" s="5">
        <f t="shared" si="15"/>
        <v>181694.6</v>
      </c>
      <c r="R351" s="7" t="s">
        <v>198</v>
      </c>
      <c r="S351">
        <v>286866.59999999998</v>
      </c>
      <c r="T351">
        <v>181694.6</v>
      </c>
    </row>
    <row r="352" spans="2:21">
      <c r="B352" s="5">
        <f t="shared" si="14"/>
        <v>330873.8</v>
      </c>
      <c r="C352" s="5">
        <f t="shared" si="15"/>
        <v>180067.3</v>
      </c>
      <c r="R352" t="s">
        <v>199</v>
      </c>
      <c r="S352">
        <v>330873.8</v>
      </c>
      <c r="T352">
        <v>180067.3</v>
      </c>
    </row>
    <row r="353" spans="2:21" ht="16">
      <c r="B353" s="5">
        <f t="shared" si="14"/>
        <v>324208.3</v>
      </c>
      <c r="C353" s="5">
        <f t="shared" si="15"/>
        <v>197692.4</v>
      </c>
      <c r="R353" s="7" t="s">
        <v>200</v>
      </c>
      <c r="S353">
        <v>324208.3</v>
      </c>
      <c r="T353">
        <v>197692.4</v>
      </c>
    </row>
    <row r="354" spans="2:21" ht="16">
      <c r="B354" s="5">
        <f t="shared" si="14"/>
        <v>379044.9</v>
      </c>
      <c r="C354" s="5">
        <f t="shared" si="15"/>
        <v>223339.7</v>
      </c>
      <c r="R354" s="7" t="s">
        <v>201</v>
      </c>
      <c r="S354">
        <v>379044.9</v>
      </c>
      <c r="T354">
        <v>223339.7</v>
      </c>
    </row>
    <row r="355" spans="2:21" ht="16">
      <c r="B355" s="5">
        <f t="shared" si="14"/>
        <v>457282.1</v>
      </c>
      <c r="C355" s="5">
        <f t="shared" si="15"/>
        <v>258611.7</v>
      </c>
      <c r="R355" s="7" t="s">
        <v>202</v>
      </c>
      <c r="S355">
        <v>457282.1</v>
      </c>
      <c r="T355">
        <v>258611.7</v>
      </c>
    </row>
    <row r="356" spans="2:21" ht="16">
      <c r="B356" s="5">
        <f t="shared" si="14"/>
        <v>858457</v>
      </c>
      <c r="C356" s="5">
        <f t="shared" si="15"/>
        <v>492852.2</v>
      </c>
      <c r="R356" s="7" t="s">
        <v>203</v>
      </c>
      <c r="S356">
        <v>858457</v>
      </c>
      <c r="T356">
        <v>492852.2</v>
      </c>
    </row>
    <row r="357" spans="2:21" ht="16">
      <c r="R357" s="7" t="s">
        <v>184</v>
      </c>
      <c r="S357" t="s">
        <v>185</v>
      </c>
      <c r="T357" t="s">
        <v>186</v>
      </c>
    </row>
    <row r="358" spans="2:21" ht="16">
      <c r="R358" s="7"/>
    </row>
    <row r="359" spans="2:21" ht="16">
      <c r="R359" s="7" t="s">
        <v>180</v>
      </c>
      <c r="S359" t="s">
        <v>415</v>
      </c>
      <c r="T359" t="s">
        <v>434</v>
      </c>
      <c r="U359" t="s">
        <v>435</v>
      </c>
    </row>
    <row r="360" spans="2:21" ht="16">
      <c r="R360" s="7"/>
    </row>
    <row r="361" spans="2:21">
      <c r="R361" t="s">
        <v>184</v>
      </c>
      <c r="S361" t="s">
        <v>185</v>
      </c>
      <c r="T361" t="s">
        <v>186</v>
      </c>
    </row>
    <row r="362" spans="2:21" ht="16">
      <c r="R362" s="7" t="s">
        <v>187</v>
      </c>
      <c r="S362" t="s">
        <v>188</v>
      </c>
      <c r="T362" t="s">
        <v>189</v>
      </c>
    </row>
    <row r="363" spans="2:21" ht="16">
      <c r="R363" s="7" t="s">
        <v>190</v>
      </c>
      <c r="S363" t="s">
        <v>191</v>
      </c>
      <c r="T363" t="s">
        <v>192</v>
      </c>
    </row>
    <row r="364" spans="2:21" ht="16">
      <c r="R364" s="7" t="s">
        <v>193</v>
      </c>
      <c r="S364" t="s">
        <v>185</v>
      </c>
      <c r="T364" t="s">
        <v>186</v>
      </c>
    </row>
    <row r="365" spans="2:21" ht="16">
      <c r="B365">
        <f>S365</f>
        <v>42695.38</v>
      </c>
      <c r="C365">
        <f>T365</f>
        <v>51691.42</v>
      </c>
      <c r="R365" s="7" t="s">
        <v>194</v>
      </c>
      <c r="S365">
        <v>42695.38</v>
      </c>
      <c r="T365">
        <v>51691.42</v>
      </c>
    </row>
    <row r="366" spans="2:21" ht="16">
      <c r="B366">
        <f t="shared" ref="B366:B374" si="16">S366</f>
        <v>100530.8</v>
      </c>
      <c r="C366">
        <f t="shared" ref="C366:C374" si="17">T366</f>
        <v>96725.31</v>
      </c>
      <c r="R366" s="7" t="s">
        <v>195</v>
      </c>
      <c r="S366">
        <v>100530.8</v>
      </c>
      <c r="T366">
        <v>96725.31</v>
      </c>
    </row>
    <row r="367" spans="2:21" ht="16">
      <c r="B367">
        <f t="shared" si="16"/>
        <v>128602.5</v>
      </c>
      <c r="C367">
        <f t="shared" si="17"/>
        <v>125705.60000000001</v>
      </c>
      <c r="R367" s="7" t="s">
        <v>196</v>
      </c>
      <c r="S367">
        <v>128602.5</v>
      </c>
      <c r="T367">
        <v>125705.60000000001</v>
      </c>
    </row>
    <row r="368" spans="2:21" ht="16">
      <c r="B368">
        <f t="shared" si="16"/>
        <v>156404.1</v>
      </c>
      <c r="C368">
        <f t="shared" si="17"/>
        <v>147344.5</v>
      </c>
      <c r="R368" s="7" t="s">
        <v>197</v>
      </c>
      <c r="S368">
        <v>156404.1</v>
      </c>
      <c r="T368">
        <v>147344.5</v>
      </c>
    </row>
    <row r="369" spans="2:20" ht="16">
      <c r="B369">
        <f t="shared" si="16"/>
        <v>187511.1</v>
      </c>
      <c r="C369">
        <f t="shared" si="17"/>
        <v>182599.7</v>
      </c>
      <c r="R369" s="7" t="s">
        <v>198</v>
      </c>
      <c r="S369">
        <v>187511.1</v>
      </c>
      <c r="T369">
        <v>182599.7</v>
      </c>
    </row>
    <row r="370" spans="2:20">
      <c r="B370">
        <f t="shared" si="16"/>
        <v>218402.7</v>
      </c>
      <c r="C370">
        <f t="shared" si="17"/>
        <v>211251.6</v>
      </c>
      <c r="R370" t="s">
        <v>199</v>
      </c>
      <c r="S370">
        <v>218402.7</v>
      </c>
      <c r="T370">
        <v>211251.6</v>
      </c>
    </row>
    <row r="371" spans="2:20" ht="16">
      <c r="B371">
        <f t="shared" si="16"/>
        <v>256840.2</v>
      </c>
      <c r="C371">
        <f t="shared" si="17"/>
        <v>244947.4</v>
      </c>
      <c r="R371" s="7" t="s">
        <v>200</v>
      </c>
      <c r="S371">
        <v>256840.2</v>
      </c>
      <c r="T371">
        <v>244947.4</v>
      </c>
    </row>
    <row r="372" spans="2:20" ht="16">
      <c r="B372">
        <f t="shared" si="16"/>
        <v>305267.09999999998</v>
      </c>
      <c r="C372">
        <f t="shared" si="17"/>
        <v>297458.59999999998</v>
      </c>
      <c r="R372" s="7" t="s">
        <v>201</v>
      </c>
      <c r="S372">
        <v>305267.09999999998</v>
      </c>
      <c r="T372">
        <v>297458.59999999998</v>
      </c>
    </row>
    <row r="373" spans="2:20" ht="16">
      <c r="B373">
        <f t="shared" si="16"/>
        <v>396246.3</v>
      </c>
      <c r="C373">
        <f t="shared" si="17"/>
        <v>372083.5</v>
      </c>
      <c r="R373" s="7" t="s">
        <v>202</v>
      </c>
      <c r="S373">
        <v>396246.3</v>
      </c>
      <c r="T373">
        <v>372083.5</v>
      </c>
    </row>
    <row r="374" spans="2:20" ht="16">
      <c r="B374">
        <f t="shared" si="16"/>
        <v>842746.8</v>
      </c>
      <c r="C374">
        <f t="shared" si="17"/>
        <v>723165.6</v>
      </c>
      <c r="R374" s="7" t="s">
        <v>203</v>
      </c>
      <c r="S374">
        <v>842746.8</v>
      </c>
      <c r="T374">
        <v>723165.6</v>
      </c>
    </row>
    <row r="375" spans="2:20" ht="16">
      <c r="R375" s="7" t="s">
        <v>184</v>
      </c>
      <c r="S375" t="s">
        <v>185</v>
      </c>
      <c r="T375" t="s">
        <v>186</v>
      </c>
    </row>
    <row r="376" spans="2:20" ht="16">
      <c r="R376" s="7"/>
    </row>
    <row r="377" spans="2:20" ht="16">
      <c r="R377" s="7" t="s">
        <v>403</v>
      </c>
    </row>
    <row r="378" spans="2:20" ht="16">
      <c r="R378" s="7"/>
    </row>
    <row r="379" spans="2:20">
      <c r="R379" t="s">
        <v>186</v>
      </c>
      <c r="S379" t="s">
        <v>436</v>
      </c>
    </row>
    <row r="380" spans="2:20" ht="16">
      <c r="R380" s="7" t="s">
        <v>437</v>
      </c>
      <c r="S380" t="s">
        <v>438</v>
      </c>
    </row>
    <row r="381" spans="2:20" ht="16">
      <c r="R381" s="7" t="s">
        <v>439</v>
      </c>
      <c r="S381" t="s">
        <v>436</v>
      </c>
    </row>
    <row r="382" spans="2:20" ht="16">
      <c r="B382">
        <f>S382</f>
        <v>4.2213989999999999</v>
      </c>
      <c r="C382">
        <f>S383</f>
        <v>5.0926419999999997</v>
      </c>
      <c r="R382" s="7" t="s">
        <v>440</v>
      </c>
      <c r="S382">
        <v>4.2213989999999999</v>
      </c>
    </row>
    <row r="383" spans="2:20" ht="16">
      <c r="R383" s="7" t="s">
        <v>441</v>
      </c>
      <c r="S383">
        <v>5.0926419999999997</v>
      </c>
    </row>
    <row r="384" spans="2:20" ht="16">
      <c r="R384" s="7" t="s">
        <v>186</v>
      </c>
      <c r="S384" t="s">
        <v>436</v>
      </c>
    </row>
    <row r="385" spans="18:18" ht="16">
      <c r="R385" s="7"/>
    </row>
    <row r="386" spans="18:18" ht="16">
      <c r="R386" s="7"/>
    </row>
    <row r="388" spans="18:18" ht="16">
      <c r="R388" s="7"/>
    </row>
    <row r="389" spans="18:18" ht="16">
      <c r="R389" s="7"/>
    </row>
    <row r="390" spans="18:18" ht="16">
      <c r="R390" s="7"/>
    </row>
    <row r="391" spans="18:18" ht="16">
      <c r="R391" s="7"/>
    </row>
    <row r="392" spans="18:18" ht="16">
      <c r="R392" s="7"/>
    </row>
    <row r="394" spans="18:18" ht="16">
      <c r="R394" s="7"/>
    </row>
    <row r="396" spans="18:18" ht="16">
      <c r="R396" s="7"/>
    </row>
    <row r="397" spans="18:18" ht="16">
      <c r="R397" s="7"/>
    </row>
    <row r="398" spans="18:18" ht="16">
      <c r="R398" s="7"/>
    </row>
    <row r="399" spans="18:18" ht="16">
      <c r="R399" s="7"/>
    </row>
    <row r="400" spans="18:18" ht="16">
      <c r="R400" s="7"/>
    </row>
    <row r="401" spans="18:18" ht="16">
      <c r="R401" s="7"/>
    </row>
    <row r="402" spans="18:18" ht="16">
      <c r="R402" s="7"/>
    </row>
    <row r="403" spans="18:18" ht="16">
      <c r="R403" s="7"/>
    </row>
    <row r="404" spans="18:18" ht="16">
      <c r="R404" s="7"/>
    </row>
    <row r="405" spans="18:18" ht="16">
      <c r="R405" s="7"/>
    </row>
    <row r="406" spans="18:18" ht="16">
      <c r="R406" s="7"/>
    </row>
    <row r="407" spans="18:18" ht="16">
      <c r="R407" s="7"/>
    </row>
    <row r="408" spans="18:18" ht="16">
      <c r="R408" s="7"/>
    </row>
    <row r="409" spans="18:18" ht="16">
      <c r="R409" s="7"/>
    </row>
    <row r="410" spans="18:18" ht="16">
      <c r="R410" s="7"/>
    </row>
    <row r="412" spans="18:18" ht="16">
      <c r="R412" s="7"/>
    </row>
    <row r="414" spans="18:18" ht="16">
      <c r="R414" s="7"/>
    </row>
    <row r="415" spans="18:18" ht="16">
      <c r="R415" s="7"/>
    </row>
    <row r="416" spans="18:18" ht="16">
      <c r="R416" s="7"/>
    </row>
    <row r="417" spans="18:18" ht="16">
      <c r="R417" s="7"/>
    </row>
    <row r="418" spans="18:18" ht="16">
      <c r="R418" s="7"/>
    </row>
    <row r="419" spans="18:18" ht="16">
      <c r="R419" s="7"/>
    </row>
    <row r="420" spans="18:18" ht="16">
      <c r="R420" s="7"/>
    </row>
    <row r="421" spans="18:18" ht="16">
      <c r="R421" s="7"/>
    </row>
    <row r="422" spans="18:18" ht="16">
      <c r="R422" s="7"/>
    </row>
    <row r="423" spans="18:18" ht="16">
      <c r="R423" s="7"/>
    </row>
    <row r="424" spans="18:18" ht="16">
      <c r="R424" s="7"/>
    </row>
    <row r="425" spans="18:18" ht="16">
      <c r="R425" s="7"/>
    </row>
    <row r="426" spans="18:18" ht="16">
      <c r="R426" s="7"/>
    </row>
    <row r="427" spans="18:18" ht="16">
      <c r="R427" s="7"/>
    </row>
    <row r="428" spans="18:18" ht="16">
      <c r="R428" s="7"/>
    </row>
    <row r="430" spans="18:18" ht="16">
      <c r="R430" s="7"/>
    </row>
    <row r="432" spans="18:18" ht="16">
      <c r="R432" s="7"/>
    </row>
    <row r="433" spans="18:18" ht="16">
      <c r="R433" s="7"/>
    </row>
    <row r="434" spans="18:18" ht="16">
      <c r="R434" s="7"/>
    </row>
    <row r="435" spans="18:18" ht="16">
      <c r="R435" s="7"/>
    </row>
    <row r="436" spans="18:18" ht="16">
      <c r="R436" s="7"/>
    </row>
    <row r="437" spans="18:18" ht="16">
      <c r="R437" s="7"/>
    </row>
    <row r="438" spans="18:18" ht="16">
      <c r="R438" s="7"/>
    </row>
    <row r="439" spans="18:18" ht="16">
      <c r="R439" s="7"/>
    </row>
    <row r="440" spans="18:18" ht="16">
      <c r="R440" s="7"/>
    </row>
    <row r="441" spans="18:18" ht="16">
      <c r="R441" s="7"/>
    </row>
    <row r="442" spans="18:18" ht="16">
      <c r="R442" s="7"/>
    </row>
    <row r="443" spans="18:18" ht="16">
      <c r="R443" s="7"/>
    </row>
    <row r="444" spans="18:18" ht="16">
      <c r="R444" s="7"/>
    </row>
    <row r="445" spans="18:18" ht="16">
      <c r="R445" s="7"/>
    </row>
    <row r="446" spans="18:18" ht="16">
      <c r="R446" s="7"/>
    </row>
    <row r="448" spans="18:18" ht="16">
      <c r="R448" s="7"/>
    </row>
    <row r="450" spans="18:18" ht="16">
      <c r="R450" s="7"/>
    </row>
    <row r="451" spans="18:18" ht="16">
      <c r="R451" s="7"/>
    </row>
    <row r="452" spans="18:18" ht="16">
      <c r="R452" s="7"/>
    </row>
    <row r="453" spans="18:18" ht="16">
      <c r="R453" s="7"/>
    </row>
    <row r="454" spans="18:18" ht="16">
      <c r="R454" s="7"/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0DC6918B43BD647AC519C6B0DA6C233" ma:contentTypeVersion="17" ma:contentTypeDescription="Create a new document." ma:contentTypeScope="" ma:versionID="ad8824d1f0dd16766170720f2843e81b">
  <xsd:schema xmlns:xsd="http://www.w3.org/2001/XMLSchema" xmlns:xs="http://www.w3.org/2001/XMLSchema" xmlns:p="http://schemas.microsoft.com/office/2006/metadata/properties" xmlns:ns3="4cad42aa-992b-4afa-997c-54de5ba4a73b" xmlns:ns4="9f6a24d1-3ff2-402b-b3e6-d032d73fb67d" targetNamespace="http://schemas.microsoft.com/office/2006/metadata/properties" ma:root="true" ma:fieldsID="c9cd412045e033688a8b00aba74aadbf" ns3:_="" ns4:_="">
    <xsd:import namespace="4cad42aa-992b-4afa-997c-54de5ba4a73b"/>
    <xsd:import namespace="9f6a24d1-3ff2-402b-b3e6-d032d73fb67d"/>
    <xsd:element name="properties">
      <xsd:complexType>
        <xsd:sequence>
          <xsd:element name="documentManagement">
            <xsd:complexType>
              <xsd:all>
                <xsd:element ref="ns3:SharedWithUsers" minOccurs="0"/>
                <xsd:element ref="ns3:SharedWithDetails" minOccurs="0"/>
                <xsd:element ref="ns3:SharingHintHash" minOccurs="0"/>
                <xsd:element ref="ns4:MediaServiceMetadata" minOccurs="0"/>
                <xsd:element ref="ns4:MediaServiceFastMetadata" minOccurs="0"/>
                <xsd:element ref="ns4:MediaServiceAutoKeyPoints" minOccurs="0"/>
                <xsd:element ref="ns4:MediaServiceKeyPoints" minOccurs="0"/>
                <xsd:element ref="ns4:MediaServiceAutoTags" minOccurs="0"/>
                <xsd:element ref="ns4:MediaServiceOCR" minOccurs="0"/>
                <xsd:element ref="ns4:MediaServiceGenerationTime" minOccurs="0"/>
                <xsd:element ref="ns4:MediaServiceEventHashCode" minOccurs="0"/>
                <xsd:element ref="ns4:_activity" minOccurs="0"/>
                <xsd:element ref="ns4:MediaServiceObjectDetectorVersions" minOccurs="0"/>
                <xsd:element ref="ns4:MediaServiceSystemTags" minOccurs="0"/>
                <xsd:element ref="ns4:MediaServiceDateTaken" minOccurs="0"/>
                <xsd:element ref="ns4:MediaServiceSearchProperties" minOccurs="0"/>
                <xsd:element ref="ns4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cad42aa-992b-4afa-997c-54de5ba4a73b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0" nillable="true" ma:displayName="Sharing Hint Hash" ma:hidden="true" ma:internalName="SharingHintHash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24d1-3ff2-402b-b3e6-d032d73fb67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3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4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_activity" ma:index="19" nillable="true" ma:displayName="_activity" ma:hidden="true" ma:internalName="_activity">
      <xsd:simpleType>
        <xsd:restriction base="dms:Note"/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ystemTags" ma:index="21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DateTaken" ma:index="2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SearchProperties" ma:index="2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LengthInSeconds" ma:index="24" nillable="true" ma:displayName="MediaLengthInSeconds" ma:hidden="true" ma:internalName="MediaLengthInSeconds" ma:readOnly="true">
      <xsd:simpleType>
        <xsd:restriction base="dms:Unknown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9f6a24d1-3ff2-402b-b3e6-d032d73fb67d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EF53CE02-3A06-4131-A112-7AA87C378A7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cad42aa-992b-4afa-997c-54de5ba4a73b"/>
    <ds:schemaRef ds:uri="9f6a24d1-3ff2-402b-b3e6-d032d73fb67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846865D8-F05B-48E8-AB81-85544173BB38}">
  <ds:schemaRefs>
    <ds:schemaRef ds:uri="9f6a24d1-3ff2-402b-b3e6-d032d73fb67d"/>
    <ds:schemaRef ds:uri="http://purl.org/dc/elements/1.1/"/>
    <ds:schemaRef ds:uri="http://purl.org/dc/dcmitype/"/>
    <ds:schemaRef ds:uri="http://schemas.microsoft.com/office/infopath/2007/PartnerControls"/>
    <ds:schemaRef ds:uri="4cad42aa-992b-4afa-997c-54de5ba4a73b"/>
    <ds:schemaRef ds:uri="http://schemas.microsoft.com/office/2006/documentManagement/types"/>
    <ds:schemaRef ds:uri="http://www.w3.org/XML/1998/namespace"/>
    <ds:schemaRef ds:uri="http://schemas.openxmlformats.org/package/2006/metadata/core-properties"/>
    <ds:schemaRef ds:uri="http://schemas.microsoft.com/office/2006/metadata/properties"/>
    <ds:schemaRef ds:uri="http://purl.org/dc/terms/"/>
  </ds:schemaRefs>
</ds:datastoreItem>
</file>

<file path=customXml/itemProps3.xml><?xml version="1.0" encoding="utf-8"?>
<ds:datastoreItem xmlns:ds="http://schemas.openxmlformats.org/officeDocument/2006/customXml" ds:itemID="{67DC98CA-D0A6-4E40-ACC1-81167AD777F5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DASGUPTA Shouro</dc:creator>
  <cp:lastModifiedBy>Malerba, Daniele</cp:lastModifiedBy>
  <dcterms:created xsi:type="dcterms:W3CDTF">2025-10-07T18:55:04Z</dcterms:created>
  <dcterms:modified xsi:type="dcterms:W3CDTF">2025-11-13T08:53:42Z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0x01010050DC6918B43BD647AC519C6B0DA6C233</vt:lpwstr>
  </property>
</Properties>
</file>
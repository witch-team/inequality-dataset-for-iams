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G83" i="1" l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B155" i="2"/>
  <c r="C155" i="2"/>
  <c r="B156" i="2"/>
  <c r="C156" i="2"/>
  <c r="B157" i="2"/>
  <c r="C157" i="2"/>
  <c r="B158" i="2"/>
  <c r="C158" i="2"/>
  <c r="B159" i="2"/>
  <c r="C159" i="2"/>
  <c r="B160" i="2"/>
  <c r="C160" i="2"/>
  <c r="B161" i="2"/>
  <c r="C161" i="2"/>
  <c r="B162" i="2"/>
  <c r="C162" i="2"/>
  <c r="B163" i="2"/>
  <c r="C163" i="2"/>
  <c r="C154" i="2"/>
  <c r="B154" i="2"/>
  <c r="G82" i="1"/>
  <c r="C303" i="2"/>
  <c r="B303" i="2"/>
  <c r="C263" i="2"/>
  <c r="B263" i="2"/>
  <c r="C382" i="2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<sst xmlns="http://schemas.openxmlformats.org/spreadsheetml/2006/main" count="1722" uniqueCount="455">
  <si>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</si>
  <si>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</si>
  <si>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</si>
  <si>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</si>
  <si>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</si>
  <si>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</si>
  <si>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</si>
  <si>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</si>
  <si>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</si>
  <si>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</si>
  <si>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</si>
  <si>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</si>
  <si>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</si>
  <si>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</si>
  <si>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</si>
  <si>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</si>
  <si>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</si>
  <si>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</si>
  <si>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</si>
  <si>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</si>
  <si>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</si>
  <si>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</si>
  <si>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</si>
  <si>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</si>
  <si>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</si>
  <si>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</si>
  <si>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</si>
  <si>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</si>
  <si>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</si>
  <si>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</si>
  <si>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</si>
  <si>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</si>
  <si>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</si>
  <si>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</si>
  <si>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</si>
  <si>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</si>
  <si>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</si>
  <si>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</si>
  <si>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</si>
  <si>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</si>
  <si>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</si>
  <si>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</si>
  <si>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</si>
  <si>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</si>
  <si>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</si>
  <si>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</si>
  <si>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</si>
  <si>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</si>
  <si>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</si>
  <si>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</si>
  <si>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</si>
  <si>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</si>
  <si>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</si>
  <si>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</si>
  <si>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</si>
  <si>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</si>
  <si>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</si>
  <si>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</si>
  <si>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</si>
  <si>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</si>
  <si>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</si>
  <si>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</si>
  <si>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</si>
  <si>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</si>
  <si>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</si>
  <si>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</si>
  <si>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</si>
  <si>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</si>
  <si>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</si>
  <si>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</si>
  <si>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</si>
  <si>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</si>
  <si>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</si>
  <si>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</si>
  <si>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</si>
  <si>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</si>
  <si>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</si>
  <si>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</si>
  <si>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</si>
  <si>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</si>
  <si>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</si>
  <si>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</si>
  <si>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</si>
  <si>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</si>
  <si>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</si>
  <si>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</si>
  <si>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</si>
  <si>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</si>
  <si>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</si>
  <si>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</si>
  <si>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</si>
  <si>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</si>
  <si>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</si>
  <si>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</si>
  <si>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</si>
  <si>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</si>
  <si>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</si>
  <si>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</si>
  <si>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</si>
  <si>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</si>
  <si>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</si>
  <si>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</si>
  <si>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</si>
  <si>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</si>
  <si>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</si>
  <si>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</si>
  <si>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</si>
  <si>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</si>
  <si>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</si>
  <si>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</si>
  <si>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</si>
  <si>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</si>
  <si>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</si>
  <si>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</si>
  <si>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</si>
  <si>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</si>
  <si>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</si>
  <si>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</si>
  <si>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</si>
  <si>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</si>
  <si>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</si>
  <si>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</si>
  <si>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</si>
  <si>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</si>
  <si>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</si>
  <si>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</si>
  <si>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</si>
  <si>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</si>
  <si>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</si>
  <si>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</si>
  <si>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</si>
  <si>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</si>
  <si>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</si>
  <si>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</si>
  <si>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</si>
  <si>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</si>
  <si>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</si>
  <si>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</si>
  <si>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</si>
  <si>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</si>
  <si>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</si>
  <si>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</si>
  <si>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</si>
  <si>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</si>
  <si>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</si>
  <si>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</si>
  <si>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</si>
  <si>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</si>
  <si>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</si>
  <si>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</si>
  <si>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</si>
  <si>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</si>
  <si>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</si>
  <si>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</si>
  <si>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</si>
  <si>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</si>
  <si>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</si>
  <si>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</si>
  <si>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</si>
  <si>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</si>
  <si>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</si>
  <si>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</si>
  <si>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</si>
  <si>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</si>
  <si>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</si>
  <si>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</si>
  <si>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</si>
  <si>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</si>
  <si>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</si>
  <si>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</si>
  <si>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</si>
  <si>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</si>
  <si>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</si>
  <si>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</si>
  <si>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</si>
  <si>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</si>
  <si>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</si>
  <si>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</si>
  <si>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</si>
  <si>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</si>
  <si>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</si>
  <si>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</si>
  <si>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</si>
  <si>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</si>
  <si>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</si>
  <si>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</si>
  <si>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</si>
  <si>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</si>
  <si>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</si>
  <si>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</si>
  <si>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</si>
  <si>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</si>
  <si>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</si>
  <si>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</si>
  <si>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</si>
  <si>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</si>
  <si>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</si>
  <si>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</si>
  <si>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</si>
  <si>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</si>
  <si>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</si>
  <si>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</si>
  <si>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</si>
  <si>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</si>
  <si>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</si>
  <si>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</si>
  <si>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</si>
  <si>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</si>
  <si>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</si>
  <si>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</si>
  <si>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</si>
  <si>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</si>
  <si>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</si>
  <si>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</si>
  <si>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</si>
  <si>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</si>
  <si>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</si>
  <si>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</si>
  <si>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</si>
  <si>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</si>
  <si>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</si>
  <si>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</si>
  <si>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</si>
  <si>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</si>
  <si>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</si>
  <si>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</si>
  <si>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</si>
  <si>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</si>
  <si>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</si>
  <si>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</si>
  <si>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</si>
  <si>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</si>
  <si>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</si>
  <si>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</si>
  <si>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</si>
  <si>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</si>
  <si>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</si>
  <si>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</si>
  <si>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</si>
  <si>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</si>
  <si>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</si>
  <si>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</si>
  <si>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</si>
  <si>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</si>
  <si>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</si>
  <si>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</si>
  <si>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</si>
  <si>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</si>
  <si>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</si>
  <si>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</si>
  <si>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</si>
  <si>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</si>
  <si>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</si>
  <si>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</si>
  <si>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</si>
  <si>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</si>
  <si>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</si>
  <si>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</si>
  <si>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</si>
  <si>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</si>
  <si>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</si>
  <si>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</si>
  <si>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</si>
  <si>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</si>
  <si>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</si>
  <si>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</si>
  <si>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</si>
  <si>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</si>
  <si>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</si>
  <si>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</si>
  <si>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</si>
  <si>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</si>
  <si>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</si>
  <si>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</si>
  <si>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</si>
  <si>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</si>
  <si>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</si>
  <si>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</si>
  <si>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</si>
  <si>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</si>
  <si>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</si>
  <si>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</si>
  <si>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</si>
  <si>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</si>
  <si>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</si>
  <si>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</si>
  <si>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</si>
  <si>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</si>
  <si>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</si>
  <si>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</si>
  <si>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</si>
  <si>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</si>
  <si>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</si>
  <si>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</si>
  <si>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</si>
  <si>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</si>
  <si>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</si>
  <si>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</si>
  <si>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</si>
  <si>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</si>
  <si>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</si>
  <si>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</si>
  <si>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</si>
  <si>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</si>
  <si>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</si>
  <si>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</si>
  <si>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</si>
  <si>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</si>
  <si>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</si>
  <si>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</si>
  <si>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</si>
  <si>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</si>
  <si>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</si>
  <si>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</si>
  <si>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</si>
  <si>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</si>
  <si>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</si>
  <si>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</si>
  <si>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</si>
  <si>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</si>
  <si>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</si>
  <si>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</si>
  <si>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</si>
  <si>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</si>
  <si>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</si>
  <si>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</si>
  <si>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</si>
  <si>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</si>
  <si>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</si>
  <si>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</si>
  <si>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</si>
  <si>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</si>
  <si>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</si>
  <si>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</si>
  <si>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</si>
  <si>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</si>
  <si>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</si>
  <si>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</si>
  <si>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</si>
  <si>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</si>
  <si>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</si>
  <si>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</si>
  <si>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</si>
  <si>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</si>
  <si>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</si>
  <si>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</si>
  <si>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</si>
  <si>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</si>
  <si>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</si>
  <si>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</si>
  <si>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</si>
  <si>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</si>
  <si>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</si>
  <si>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</si>
  <si>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</si>
  <si>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</si>
  <si>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</si>
  <si>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</si>
  <si>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</si>
  <si>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</si>
  <si>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</si>
  <si>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</si>
  <si>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</si>
  <si>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</si>
  <si>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</si>
  <si>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</si>
  <si>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</si>
  <si>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</si>
  <si>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</si>
  <si>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</si>
  <si>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</si>
  <si>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</si>
  <si>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</si>
  <si>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</si>
  <si>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</si>
  <si>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</si>
  <si>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</si>
  <si>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</si>
  <si>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</si>
  <si>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</si>
  <si>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</si>
  <si>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</si>
  <si>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</si>
  <si>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</si>
  <si>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</si>
  <si>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</si>
  <si>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</si>
  <si>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</si>
  <si>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</si>
  <si>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</si>
  <si>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</si>
  <si>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</si>
  <si>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</si>
  <si>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</si>
  <si>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</si>
  <si>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</si>
  <si>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</si>
  <si>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</si>
  <si>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</si>
  <si>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</si>
  <si>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</si>
  <si>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</si>
  <si>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</si>
  <si>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</si>
  <si>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</si>
  <si>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</si>
  <si>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</si>
  <si>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</si>
  <si>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</si>
  <si>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</si>
  <si>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</si>
  <si>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</si>
  <si>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</si>
  <si>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</si>
  <si>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</si>
  <si>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</si>
  <si>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</si>
  <si>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</si>
  <si>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</si>
  <si>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</si>
  <si>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</si>
  <si>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</si>
  <si>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</si>
  <si>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</si>
  <si>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</si>
  <si>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</si>
  <si>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</si>
  <si>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</si>
  <si>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</si>
  <si>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</si>
  <si>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</si>
  <si>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</si>
  <si>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Warning: hitotal_pc has 1376 values = 0. Used in calculations</t>
  </si>
  <si>
    <t xml:space="preserve">          |     21.000       4.000       0.190       4.094</t>
  </si>
  <si>
    <t xml:space="preserve">          |    2.80139     0.60438</t>
  </si>
  <si>
    <t>[0]not rural area |       0.49360   583524.77427        1.24898        0.61650       13.27684</t>
  </si>
  <si>
    <t xml:space="preserve">    [1]rural area |       0.50640   353814.50904        0.75731        0.38350       12.77653</t>
  </si>
  <si>
    <t xml:space="preserve">          |    2.77118</t>
  </si>
  <si>
    <t xml:space="preserve">          |    0.03021</t>
  </si>
  <si>
    <t>wgt], c(mean hcexp_</t>
  </si>
  <si>
    <t>pc)</t>
  </si>
  <si>
    <t>wgt], c(mean hitota</t>
  </si>
  <si>
    <t>l_pc)</t>
  </si>
  <si>
    <t>---------------</t>
  </si>
  <si>
    <t>rural area |</t>
  </si>
  <si>
    <t>mean(OECD_s~e)</t>
  </si>
  <si>
    <t>------------------+</t>
  </si>
  <si>
    <t>[0]not rural area |</t>
  </si>
  <si>
    <t>[1]rural area |</t>
  </si>
  <si>
    <t>mean(poor)</t>
  </si>
  <si>
    <t>----------------</t>
  </si>
  <si>
    <t>-------</t>
  </si>
  <si>
    <t>GE(2)</t>
  </si>
  <si>
    <t>Gini</t>
  </si>
  <si>
    <t>CIV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</si>
</sst>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topLeftCell="A144" zoomScale="79" workbookViewId="0">
      <selection activeCell="J1" sqref="J1:L1048576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454</v>
      </c>
      <c r="D2" t="s">
        <v>8</v>
      </c>
      <c r="E2" t="s">
        <v>9</v>
      </c>
      <c r="G2" s="3">
        <f>Sheet2!B8</f>
        <v>0.40815760000000001</v>
      </c>
      <c r="H2" s="3">
        <f>Sheet2!C8</f>
        <v>0.48772090000000001</v>
      </c>
    </row>
    <row r="3" spans="1:8">
      <c r="A3" t="s">
        <v>7</v>
      </c>
      <c r="C3" t="s">
        <v>454</v>
      </c>
      <c r="D3" t="s">
        <v>10</v>
      </c>
      <c r="E3" t="s">
        <v>9</v>
      </c>
      <c r="G3" s="3">
        <f>Sheet2!B9</f>
        <v>0.45340520000000001</v>
      </c>
      <c r="H3" s="3">
        <f>Sheet2!C9</f>
        <v>0.55913100000000004</v>
      </c>
    </row>
    <row r="4" spans="1:8">
      <c r="A4" t="s">
        <v>7</v>
      </c>
      <c r="C4" t="s">
        <v>454</v>
      </c>
      <c r="D4" t="s">
        <v>11</v>
      </c>
      <c r="E4" t="s">
        <v>9</v>
      </c>
      <c r="G4" s="3">
        <f>Sheet2!B10</f>
        <v>0.44375150000000002</v>
      </c>
      <c r="H4" s="3">
        <f>Sheet2!C10</f>
        <v>0.57726460000000002</v>
      </c>
    </row>
    <row r="5" spans="1:8">
      <c r="A5" t="s">
        <v>7</v>
      </c>
      <c r="C5" t="s">
        <v>454</v>
      </c>
      <c r="D5" t="s">
        <v>12</v>
      </c>
      <c r="E5" t="s">
        <v>9</v>
      </c>
      <c r="G5" s="3">
        <f>Sheet2!B11</f>
        <v>0.45731739999999999</v>
      </c>
      <c r="H5" s="3">
        <f>Sheet2!C11</f>
        <v>0.56092750000000002</v>
      </c>
    </row>
    <row r="6" spans="1:8">
      <c r="A6" t="s">
        <v>7</v>
      </c>
      <c r="C6" t="s">
        <v>454</v>
      </c>
      <c r="D6" t="s">
        <v>13</v>
      </c>
      <c r="E6" t="s">
        <v>9</v>
      </c>
      <c r="G6" s="3">
        <f>Sheet2!B12</f>
        <v>0.40505619999999998</v>
      </c>
      <c r="H6" s="3">
        <f>Sheet2!C12</f>
        <v>0.5619923</v>
      </c>
    </row>
    <row r="7" spans="1:8">
      <c r="A7" t="s">
        <v>7</v>
      </c>
      <c r="C7" t="s">
        <v>454</v>
      </c>
      <c r="D7" t="s">
        <v>14</v>
      </c>
      <c r="E7" t="s">
        <v>9</v>
      </c>
      <c r="G7" s="3">
        <f>Sheet2!B13</f>
        <v>0.39475070000000001</v>
      </c>
      <c r="H7" s="3">
        <f>Sheet2!C13</f>
        <v>0.56998530000000003</v>
      </c>
    </row>
    <row r="8" spans="1:8">
      <c r="A8" t="s">
        <v>7</v>
      </c>
      <c r="C8" t="s">
        <v>454</v>
      </c>
      <c r="D8" t="s">
        <v>15</v>
      </c>
      <c r="E8" t="s">
        <v>9</v>
      </c>
      <c r="G8" s="3">
        <f>Sheet2!B14</f>
        <v>0.3559351</v>
      </c>
      <c r="H8" s="3">
        <f>Sheet2!C14</f>
        <v>0.55181369999999996</v>
      </c>
    </row>
    <row r="9" spans="1:8">
      <c r="A9" t="s">
        <v>7</v>
      </c>
      <c r="C9" t="s">
        <v>454</v>
      </c>
      <c r="D9" t="s">
        <v>16</v>
      </c>
      <c r="E9" t="s">
        <v>9</v>
      </c>
      <c r="G9" s="3">
        <f>Sheet2!B15</f>
        <v>0.34151670000000001</v>
      </c>
      <c r="H9" s="3">
        <f>Sheet2!C15</f>
        <v>0.53353070000000002</v>
      </c>
    </row>
    <row r="10" spans="1:8">
      <c r="A10" t="s">
        <v>7</v>
      </c>
      <c r="C10" t="s">
        <v>454</v>
      </c>
      <c r="D10" t="s">
        <v>17</v>
      </c>
      <c r="E10" t="s">
        <v>9</v>
      </c>
      <c r="G10" s="3">
        <f>Sheet2!B16</f>
        <v>0.32200839999999997</v>
      </c>
      <c r="H10" s="3">
        <f>Sheet2!C16</f>
        <v>0.5019074</v>
      </c>
    </row>
    <row r="11" spans="1:8">
      <c r="A11" t="s">
        <v>7</v>
      </c>
      <c r="C11" t="s">
        <v>454</v>
      </c>
      <c r="D11" t="s">
        <v>18</v>
      </c>
      <c r="E11" t="s">
        <v>9</v>
      </c>
      <c r="G11" s="3">
        <f>Sheet2!B17</f>
        <v>0.26272139999999999</v>
      </c>
      <c r="H11" s="3">
        <f>Sheet2!C17</f>
        <v>0.55974610000000002</v>
      </c>
    </row>
    <row r="12" spans="1:8">
      <c r="A12" t="s">
        <v>7</v>
      </c>
      <c r="C12" t="s">
        <v>454</v>
      </c>
      <c r="D12" t="s">
        <v>19</v>
      </c>
      <c r="E12" t="s">
        <v>9</v>
      </c>
      <c r="G12" s="3">
        <f>Sheet2!B44</f>
        <v>0.10957359999999999</v>
      </c>
      <c r="H12" s="3">
        <f>Sheet2!C44</f>
        <v>4.4798900000000003E-2</v>
      </c>
    </row>
    <row r="13" spans="1:8">
      <c r="A13" t="s">
        <v>7</v>
      </c>
      <c r="C13" t="s">
        <v>454</v>
      </c>
      <c r="D13" t="s">
        <v>20</v>
      </c>
      <c r="E13" t="s">
        <v>9</v>
      </c>
      <c r="G13" s="3">
        <f>Sheet2!B45</f>
        <v>7.5192899999999993E-2</v>
      </c>
      <c r="H13" s="3">
        <f>Sheet2!C45</f>
        <v>3.7196300000000002E-2</v>
      </c>
    </row>
    <row r="14" spans="1:8">
      <c r="A14" t="s">
        <v>7</v>
      </c>
      <c r="C14" t="s">
        <v>454</v>
      </c>
      <c r="D14" t="s">
        <v>21</v>
      </c>
      <c r="E14" t="s">
        <v>9</v>
      </c>
      <c r="G14" s="3">
        <f>Sheet2!B46</f>
        <v>8.2150200000000007E-2</v>
      </c>
      <c r="H14" s="3">
        <f>Sheet2!C46</f>
        <v>3.0538200000000001E-2</v>
      </c>
    </row>
    <row r="15" spans="1:8">
      <c r="A15" t="s">
        <v>7</v>
      </c>
      <c r="C15" t="s">
        <v>454</v>
      </c>
      <c r="D15" t="s">
        <v>22</v>
      </c>
      <c r="E15" t="s">
        <v>9</v>
      </c>
      <c r="G15" s="3">
        <f>Sheet2!B47</f>
        <v>8.2559099999999996E-2</v>
      </c>
      <c r="H15" s="3">
        <f>Sheet2!C47</f>
        <v>3.4614499999999999E-2</v>
      </c>
    </row>
    <row r="16" spans="1:8">
      <c r="A16" t="s">
        <v>7</v>
      </c>
      <c r="C16" t="s">
        <v>454</v>
      </c>
      <c r="D16" t="s">
        <v>23</v>
      </c>
      <c r="E16" t="s">
        <v>9</v>
      </c>
      <c r="G16" s="3">
        <f>Sheet2!B48</f>
        <v>8.1032999999999994E-2</v>
      </c>
      <c r="H16" s="3">
        <f>Sheet2!C48</f>
        <v>3.1299599999999997E-2</v>
      </c>
    </row>
    <row r="17" spans="1:8">
      <c r="A17" t="s">
        <v>7</v>
      </c>
      <c r="C17" t="s">
        <v>454</v>
      </c>
      <c r="D17" t="s">
        <v>24</v>
      </c>
      <c r="E17" t="s">
        <v>9</v>
      </c>
      <c r="G17" s="3">
        <f>Sheet2!B49</f>
        <v>7.4347200000000002E-2</v>
      </c>
      <c r="H17" s="3">
        <f>Sheet2!C49</f>
        <v>3.4357699999999998E-2</v>
      </c>
    </row>
    <row r="18" spans="1:8">
      <c r="A18" t="s">
        <v>7</v>
      </c>
      <c r="C18" t="s">
        <v>454</v>
      </c>
      <c r="D18" t="s">
        <v>25</v>
      </c>
      <c r="E18" t="s">
        <v>9</v>
      </c>
      <c r="G18" s="3">
        <f>Sheet2!B50</f>
        <v>8.0439200000000002E-2</v>
      </c>
      <c r="H18" s="3">
        <f>Sheet2!C50</f>
        <v>2.9227400000000001E-2</v>
      </c>
    </row>
    <row r="19" spans="1:8">
      <c r="A19" t="s">
        <v>7</v>
      </c>
      <c r="C19" t="s">
        <v>454</v>
      </c>
      <c r="D19" t="s">
        <v>26</v>
      </c>
      <c r="E19" t="s">
        <v>9</v>
      </c>
      <c r="G19" s="3">
        <f>Sheet2!B51</f>
        <v>8.1673800000000005E-2</v>
      </c>
      <c r="H19" s="3">
        <f>Sheet2!C51</f>
        <v>3.0351699999999999E-2</v>
      </c>
    </row>
    <row r="20" spans="1:8">
      <c r="A20" t="s">
        <v>7</v>
      </c>
      <c r="C20" t="s">
        <v>454</v>
      </c>
      <c r="D20" t="s">
        <v>27</v>
      </c>
      <c r="E20" t="s">
        <v>9</v>
      </c>
      <c r="G20" s="3">
        <f>Sheet2!B52</f>
        <v>7.7735600000000002E-2</v>
      </c>
      <c r="H20" s="3">
        <f>Sheet2!C52</f>
        <v>3.1440900000000001E-2</v>
      </c>
    </row>
    <row r="21" spans="1:8">
      <c r="A21" t="s">
        <v>7</v>
      </c>
      <c r="C21" t="s">
        <v>454</v>
      </c>
      <c r="D21" t="s">
        <v>28</v>
      </c>
      <c r="E21" t="s">
        <v>9</v>
      </c>
      <c r="G21" s="3">
        <f>Sheet2!B53</f>
        <v>7.3695200000000002E-2</v>
      </c>
      <c r="H21" s="3">
        <f>Sheet2!C53</f>
        <v>2.9697600000000001E-2</v>
      </c>
    </row>
    <row r="22" spans="1:8">
      <c r="A22" t="s">
        <v>7</v>
      </c>
      <c r="C22" t="s">
        <v>454</v>
      </c>
      <c r="D22" t="s">
        <v>29</v>
      </c>
      <c r="E22" t="s">
        <v>9</v>
      </c>
      <c r="G22" s="3">
        <f>Sheet2!B26</f>
        <v>8.3715700000000004E-2</v>
      </c>
      <c r="H22" s="3">
        <f>Sheet2!C26</f>
        <v>8.3269300000000004E-2</v>
      </c>
    </row>
    <row r="23" spans="1:8">
      <c r="A23" t="s">
        <v>7</v>
      </c>
      <c r="C23" t="s">
        <v>454</v>
      </c>
      <c r="D23" t="s">
        <v>30</v>
      </c>
      <c r="E23" t="s">
        <v>9</v>
      </c>
      <c r="G23" s="3">
        <f>Sheet2!B27</f>
        <v>8.2374900000000001E-2</v>
      </c>
      <c r="H23" s="3">
        <f>Sheet2!C27</f>
        <v>7.3723399999999994E-2</v>
      </c>
    </row>
    <row r="24" spans="1:8">
      <c r="A24" t="s">
        <v>7</v>
      </c>
      <c r="C24" t="s">
        <v>454</v>
      </c>
      <c r="D24" t="s">
        <v>31</v>
      </c>
      <c r="E24" t="s">
        <v>9</v>
      </c>
      <c r="G24" s="3">
        <f>Sheet2!B28</f>
        <v>9.6441399999999997E-2</v>
      </c>
      <c r="H24" s="3">
        <f>Sheet2!C28</f>
        <v>8.7790699999999999E-2</v>
      </c>
    </row>
    <row r="25" spans="1:8">
      <c r="A25" t="s">
        <v>7</v>
      </c>
      <c r="C25" t="s">
        <v>454</v>
      </c>
      <c r="D25" t="s">
        <v>32</v>
      </c>
      <c r="E25" t="s">
        <v>9</v>
      </c>
      <c r="G25" s="3">
        <f>Sheet2!B29</f>
        <v>9.4703700000000002E-2</v>
      </c>
      <c r="H25" s="3">
        <f>Sheet2!C29</f>
        <v>8.8403999999999996E-2</v>
      </c>
    </row>
    <row r="26" spans="1:8">
      <c r="A26" t="s">
        <v>7</v>
      </c>
      <c r="C26" t="s">
        <v>454</v>
      </c>
      <c r="D26" t="s">
        <v>33</v>
      </c>
      <c r="E26" t="s">
        <v>9</v>
      </c>
      <c r="G26" s="3">
        <f>Sheet2!B30</f>
        <v>0.1185736</v>
      </c>
      <c r="H26" s="3">
        <f>Sheet2!C30</f>
        <v>9.8062300000000005E-2</v>
      </c>
    </row>
    <row r="27" spans="1:8">
      <c r="A27" t="s">
        <v>7</v>
      </c>
      <c r="C27" t="s">
        <v>454</v>
      </c>
      <c r="D27" t="s">
        <v>34</v>
      </c>
      <c r="E27" t="s">
        <v>9</v>
      </c>
      <c r="G27" s="3">
        <f>Sheet2!B31</f>
        <v>0.1129019</v>
      </c>
      <c r="H27" s="3">
        <f>Sheet2!C31</f>
        <v>9.5905400000000002E-2</v>
      </c>
    </row>
    <row r="28" spans="1:8">
      <c r="A28" t="s">
        <v>7</v>
      </c>
      <c r="C28" t="s">
        <v>454</v>
      </c>
      <c r="D28" t="s">
        <v>35</v>
      </c>
      <c r="E28" t="s">
        <v>9</v>
      </c>
      <c r="G28" s="3">
        <f>Sheet2!B32</f>
        <v>0.1234113</v>
      </c>
      <c r="H28" s="3">
        <f>Sheet2!C32</f>
        <v>0.10482669999999999</v>
      </c>
    </row>
    <row r="29" spans="1:8">
      <c r="A29" t="s">
        <v>7</v>
      </c>
      <c r="C29" t="s">
        <v>454</v>
      </c>
      <c r="D29" t="s">
        <v>36</v>
      </c>
      <c r="E29" t="s">
        <v>9</v>
      </c>
      <c r="G29" s="3">
        <f>Sheet2!B33</f>
        <v>0.13647039999999999</v>
      </c>
      <c r="H29" s="3">
        <f>Sheet2!C33</f>
        <v>0.12213060000000001</v>
      </c>
    </row>
    <row r="30" spans="1:8">
      <c r="A30" t="s">
        <v>7</v>
      </c>
      <c r="C30" t="s">
        <v>454</v>
      </c>
      <c r="D30" t="s">
        <v>37</v>
      </c>
      <c r="E30" t="s">
        <v>9</v>
      </c>
      <c r="G30" s="3">
        <f>Sheet2!B34</f>
        <v>0.1516615</v>
      </c>
      <c r="H30" s="3">
        <f>Sheet2!C34</f>
        <v>0.13245979999999999</v>
      </c>
    </row>
    <row r="31" spans="1:8">
      <c r="A31" t="s">
        <v>7</v>
      </c>
      <c r="C31" t="s">
        <v>454</v>
      </c>
      <c r="D31" t="s">
        <v>38</v>
      </c>
      <c r="E31" t="s">
        <v>9</v>
      </c>
      <c r="G31" s="3">
        <f>Sheet2!B35</f>
        <v>0.16902529999999999</v>
      </c>
      <c r="H31" s="3">
        <f>Sheet2!C35</f>
        <v>0.11206439999999999</v>
      </c>
    </row>
    <row r="32" spans="1:8">
      <c r="A32" t="s">
        <v>7</v>
      </c>
      <c r="C32" t="s">
        <v>454</v>
      </c>
      <c r="D32" t="s">
        <v>39</v>
      </c>
      <c r="E32" t="s">
        <v>9</v>
      </c>
    </row>
    <row r="33" spans="1:8">
      <c r="A33" t="s">
        <v>7</v>
      </c>
      <c r="C33" t="s">
        <v>454</v>
      </c>
      <c r="D33" t="s">
        <v>40</v>
      </c>
      <c r="E33" t="s">
        <v>9</v>
      </c>
    </row>
    <row r="34" spans="1:8">
      <c r="A34" t="s">
        <v>7</v>
      </c>
      <c r="C34" t="s">
        <v>454</v>
      </c>
      <c r="D34" t="s">
        <v>41</v>
      </c>
      <c r="E34" t="s">
        <v>9</v>
      </c>
    </row>
    <row r="35" spans="1:8">
      <c r="A35" t="s">
        <v>7</v>
      </c>
      <c r="C35" t="s">
        <v>454</v>
      </c>
      <c r="D35" t="s">
        <v>42</v>
      </c>
      <c r="E35" t="s">
        <v>9</v>
      </c>
    </row>
    <row r="36" spans="1:8">
      <c r="A36" t="s">
        <v>7</v>
      </c>
      <c r="C36" t="s">
        <v>454</v>
      </c>
      <c r="D36" t="s">
        <v>43</v>
      </c>
      <c r="E36" t="s">
        <v>9</v>
      </c>
    </row>
    <row r="37" spans="1:8">
      <c r="A37" t="s">
        <v>7</v>
      </c>
      <c r="C37" t="s">
        <v>454</v>
      </c>
      <c r="D37" t="s">
        <v>44</v>
      </c>
      <c r="E37" t="s">
        <v>9</v>
      </c>
    </row>
    <row r="38" spans="1:8">
      <c r="A38" t="s">
        <v>7</v>
      </c>
      <c r="C38" t="s">
        <v>454</v>
      </c>
      <c r="D38" t="s">
        <v>45</v>
      </c>
      <c r="E38" t="s">
        <v>9</v>
      </c>
    </row>
    <row r="39" spans="1:8">
      <c r="A39" t="s">
        <v>7</v>
      </c>
      <c r="C39" t="s">
        <v>454</v>
      </c>
      <c r="D39" t="s">
        <v>46</v>
      </c>
      <c r="E39" t="s">
        <v>9</v>
      </c>
    </row>
    <row r="40" spans="1:8">
      <c r="A40" t="s">
        <v>7</v>
      </c>
      <c r="C40" t="s">
        <v>454</v>
      </c>
      <c r="D40" t="s">
        <v>47</v>
      </c>
      <c r="E40" t="s">
        <v>9</v>
      </c>
    </row>
    <row r="41" spans="1:8">
      <c r="A41" t="s">
        <v>7</v>
      </c>
      <c r="C41" t="s">
        <v>454</v>
      </c>
      <c r="D41" t="s">
        <v>48</v>
      </c>
      <c r="E41" t="s">
        <v>9</v>
      </c>
    </row>
    <row r="42" spans="1:8">
      <c r="A42" t="s">
        <v>7</v>
      </c>
      <c r="C42" t="s">
        <v>454</v>
      </c>
      <c r="D42" t="s">
        <v>49</v>
      </c>
      <c r="E42" t="s">
        <v>9</v>
      </c>
      <c r="G42" s="3">
        <f>Sheet2!B117</f>
        <v>0.72759439999999997</v>
      </c>
      <c r="H42" s="3">
        <f>Sheet2!C117</f>
        <v>0.849966</v>
      </c>
    </row>
    <row r="43" spans="1:8">
      <c r="A43" t="s">
        <v>7</v>
      </c>
      <c r="C43" t="s">
        <v>454</v>
      </c>
      <c r="D43" t="s">
        <v>50</v>
      </c>
      <c r="E43" t="s">
        <v>9</v>
      </c>
      <c r="G43" s="3">
        <f>Sheet2!B118</f>
        <v>0.75420209999999999</v>
      </c>
      <c r="H43" s="3">
        <f>Sheet2!C118</f>
        <v>0.88981440000000001</v>
      </c>
    </row>
    <row r="44" spans="1:8">
      <c r="A44" t="s">
        <v>7</v>
      </c>
      <c r="C44" t="s">
        <v>454</v>
      </c>
      <c r="D44" t="s">
        <v>51</v>
      </c>
      <c r="E44" t="s">
        <v>9</v>
      </c>
      <c r="G44" s="3">
        <f>Sheet2!B119</f>
        <v>0.76946519999999996</v>
      </c>
      <c r="H44" s="3">
        <f>Sheet2!C119</f>
        <v>0.89979030000000004</v>
      </c>
    </row>
    <row r="45" spans="1:8">
      <c r="A45" t="s">
        <v>7</v>
      </c>
      <c r="C45" t="s">
        <v>454</v>
      </c>
      <c r="D45" t="s">
        <v>52</v>
      </c>
      <c r="E45" t="s">
        <v>9</v>
      </c>
      <c r="G45" s="3">
        <f>Sheet2!B120</f>
        <v>0.80008179999999995</v>
      </c>
      <c r="H45" s="3">
        <f>Sheet2!C120</f>
        <v>0.90073000000000003</v>
      </c>
    </row>
    <row r="46" spans="1:8">
      <c r="A46" t="s">
        <v>7</v>
      </c>
      <c r="C46" t="s">
        <v>454</v>
      </c>
      <c r="D46" t="s">
        <v>53</v>
      </c>
      <c r="E46" t="s">
        <v>9</v>
      </c>
      <c r="G46" s="3">
        <f>Sheet2!B121</f>
        <v>0.8220653</v>
      </c>
      <c r="H46" s="3">
        <f>Sheet2!C121</f>
        <v>0.89874909999999997</v>
      </c>
    </row>
    <row r="47" spans="1:8">
      <c r="A47" t="s">
        <v>7</v>
      </c>
      <c r="C47" t="s">
        <v>454</v>
      </c>
      <c r="D47" t="s">
        <v>54</v>
      </c>
      <c r="E47" t="s">
        <v>9</v>
      </c>
      <c r="G47" s="3">
        <f>Sheet2!B122</f>
        <v>0.81623259999999997</v>
      </c>
      <c r="H47" s="3">
        <f>Sheet2!C122</f>
        <v>0.90314170000000005</v>
      </c>
    </row>
    <row r="48" spans="1:8">
      <c r="A48" t="s">
        <v>7</v>
      </c>
      <c r="C48" t="s">
        <v>454</v>
      </c>
      <c r="D48" t="s">
        <v>55</v>
      </c>
      <c r="E48" t="s">
        <v>9</v>
      </c>
      <c r="G48" s="3">
        <f>Sheet2!B123</f>
        <v>0.83594279999999999</v>
      </c>
      <c r="H48" s="3">
        <f>Sheet2!C123</f>
        <v>0.90904039999999997</v>
      </c>
    </row>
    <row r="49" spans="1:8">
      <c r="A49" t="s">
        <v>7</v>
      </c>
      <c r="C49" t="s">
        <v>454</v>
      </c>
      <c r="D49" t="s">
        <v>56</v>
      </c>
      <c r="E49" t="s">
        <v>9</v>
      </c>
      <c r="G49" s="3">
        <f>Sheet2!B124</f>
        <v>0.86703719999999995</v>
      </c>
      <c r="H49" s="3">
        <f>Sheet2!C124</f>
        <v>0.90990320000000002</v>
      </c>
    </row>
    <row r="50" spans="1:8">
      <c r="A50" t="s">
        <v>7</v>
      </c>
      <c r="C50" t="s">
        <v>454</v>
      </c>
      <c r="D50" t="s">
        <v>57</v>
      </c>
      <c r="E50" t="s">
        <v>9</v>
      </c>
      <c r="G50" s="3">
        <f>Sheet2!B125</f>
        <v>0.8725098</v>
      </c>
      <c r="H50" s="3">
        <f>Sheet2!C125</f>
        <v>0.92002139999999999</v>
      </c>
    </row>
    <row r="51" spans="1:8">
      <c r="A51" t="s">
        <v>7</v>
      </c>
      <c r="C51" t="s">
        <v>454</v>
      </c>
      <c r="D51" t="s">
        <v>58</v>
      </c>
      <c r="E51" t="s">
        <v>9</v>
      </c>
      <c r="G51" s="3">
        <f>Sheet2!B126</f>
        <v>0.85232450000000004</v>
      </c>
      <c r="H51" s="3">
        <f>Sheet2!C126</f>
        <v>0.90548220000000001</v>
      </c>
    </row>
    <row r="52" spans="1:8">
      <c r="A52" t="s">
        <v>7</v>
      </c>
      <c r="C52" t="s">
        <v>454</v>
      </c>
      <c r="D52" t="s">
        <v>59</v>
      </c>
      <c r="E52" t="s">
        <v>9</v>
      </c>
      <c r="G52" s="3">
        <f>Sheet2!B135</f>
        <v>3.0633000000000001E-2</v>
      </c>
      <c r="H52" s="3">
        <f>Sheet2!C135</f>
        <v>7.7051000000000003E-3</v>
      </c>
    </row>
    <row r="53" spans="1:8">
      <c r="A53" t="s">
        <v>7</v>
      </c>
      <c r="C53" t="s">
        <v>454</v>
      </c>
      <c r="D53" t="s">
        <v>60</v>
      </c>
      <c r="E53" t="s">
        <v>9</v>
      </c>
      <c r="G53" s="3">
        <f>Sheet2!B136</f>
        <v>3.4492500000000002E-2</v>
      </c>
      <c r="H53" s="3">
        <f>Sheet2!C136</f>
        <v>6.1925000000000001E-3</v>
      </c>
    </row>
    <row r="54" spans="1:8">
      <c r="A54" t="s">
        <v>7</v>
      </c>
      <c r="C54" t="s">
        <v>454</v>
      </c>
      <c r="D54" t="s">
        <v>61</v>
      </c>
      <c r="E54" t="s">
        <v>9</v>
      </c>
      <c r="G54" s="3">
        <f>Sheet2!B137</f>
        <v>2.0450300000000001E-2</v>
      </c>
      <c r="H54" s="3">
        <f>Sheet2!C137</f>
        <v>9.6717999999999995E-3</v>
      </c>
    </row>
    <row r="55" spans="1:8">
      <c r="A55" t="s">
        <v>7</v>
      </c>
      <c r="C55" t="s">
        <v>454</v>
      </c>
      <c r="D55" t="s">
        <v>62</v>
      </c>
      <c r="E55" t="s">
        <v>9</v>
      </c>
      <c r="G55" s="3">
        <f>Sheet2!B138</f>
        <v>3.0615E-2</v>
      </c>
      <c r="H55" s="3">
        <f>Sheet2!C138</f>
        <v>9.6567000000000007E-3</v>
      </c>
    </row>
    <row r="56" spans="1:8">
      <c r="A56" t="s">
        <v>7</v>
      </c>
      <c r="C56" t="s">
        <v>454</v>
      </c>
      <c r="D56" t="s">
        <v>63</v>
      </c>
      <c r="E56" t="s">
        <v>9</v>
      </c>
      <c r="G56" s="3">
        <f>Sheet2!B139</f>
        <v>3.3473200000000002E-2</v>
      </c>
      <c r="H56" s="3">
        <f>Sheet2!C139</f>
        <v>8.9764000000000007E-3</v>
      </c>
    </row>
    <row r="57" spans="1:8">
      <c r="A57" t="s">
        <v>7</v>
      </c>
      <c r="C57" t="s">
        <v>454</v>
      </c>
      <c r="D57" t="s">
        <v>64</v>
      </c>
      <c r="E57" t="s">
        <v>9</v>
      </c>
      <c r="G57" s="3">
        <f>Sheet2!B140</f>
        <v>2.5022900000000001E-2</v>
      </c>
      <c r="H57" s="3">
        <f>Sheet2!C140</f>
        <v>8.5210000000000008E-3</v>
      </c>
    </row>
    <row r="58" spans="1:8">
      <c r="A58" t="s">
        <v>7</v>
      </c>
      <c r="C58" t="s">
        <v>454</v>
      </c>
      <c r="D58" t="s">
        <v>65</v>
      </c>
      <c r="E58" t="s">
        <v>9</v>
      </c>
      <c r="G58" s="3">
        <f>Sheet2!B141</f>
        <v>3.5135100000000002E-2</v>
      </c>
      <c r="H58" s="3">
        <f>Sheet2!C141</f>
        <v>9.5562000000000008E-3</v>
      </c>
    </row>
    <row r="59" spans="1:8">
      <c r="A59" t="s">
        <v>7</v>
      </c>
      <c r="C59" t="s">
        <v>454</v>
      </c>
      <c r="D59" t="s">
        <v>66</v>
      </c>
      <c r="E59" t="s">
        <v>9</v>
      </c>
      <c r="G59" s="3">
        <f>Sheet2!B142</f>
        <v>1.44371E-2</v>
      </c>
      <c r="H59" s="3">
        <f>Sheet2!C142</f>
        <v>1.2396600000000001E-2</v>
      </c>
    </row>
    <row r="60" spans="1:8">
      <c r="A60" t="s">
        <v>7</v>
      </c>
      <c r="C60" t="s">
        <v>454</v>
      </c>
      <c r="D60" t="s">
        <v>67</v>
      </c>
      <c r="E60" t="s">
        <v>9</v>
      </c>
      <c r="G60" s="3">
        <f>Sheet2!B143</f>
        <v>2.5062299999999999E-2</v>
      </c>
      <c r="H60" s="3">
        <f>Sheet2!C143</f>
        <v>1.7606799999999999E-2</v>
      </c>
    </row>
    <row r="61" spans="1:8">
      <c r="A61" t="s">
        <v>7</v>
      </c>
      <c r="C61" t="s">
        <v>454</v>
      </c>
      <c r="D61" t="s">
        <v>68</v>
      </c>
      <c r="E61" t="s">
        <v>9</v>
      </c>
      <c r="G61" s="3">
        <f>Sheet2!B144</f>
        <v>3.1023999999999999E-2</v>
      </c>
      <c r="H61" s="3">
        <f>Sheet2!C144</f>
        <v>1.86032E-2</v>
      </c>
    </row>
    <row r="62" spans="1:8">
      <c r="A62" t="s">
        <v>7</v>
      </c>
      <c r="C62" t="s">
        <v>454</v>
      </c>
      <c r="D62" t="s">
        <v>69</v>
      </c>
      <c r="E62" t="s">
        <v>9</v>
      </c>
      <c r="G62" s="3">
        <f>Sheet2!B99</f>
        <v>0.24177270000000001</v>
      </c>
      <c r="H62" s="3">
        <f>Sheet2!C99</f>
        <v>0.14232890000000001</v>
      </c>
    </row>
    <row r="63" spans="1:8">
      <c r="A63" t="s">
        <v>7</v>
      </c>
      <c r="C63" t="s">
        <v>454</v>
      </c>
      <c r="D63" t="s">
        <v>70</v>
      </c>
      <c r="E63" t="s">
        <v>9</v>
      </c>
      <c r="G63" s="3">
        <f>Sheet2!B100</f>
        <v>0.2113054</v>
      </c>
      <c r="H63" s="3">
        <f>Sheet2!C100</f>
        <v>0.1039931</v>
      </c>
    </row>
    <row r="64" spans="1:8">
      <c r="A64" t="s">
        <v>7</v>
      </c>
      <c r="C64" t="s">
        <v>454</v>
      </c>
      <c r="D64" t="s">
        <v>71</v>
      </c>
      <c r="E64" t="s">
        <v>9</v>
      </c>
      <c r="G64" s="3">
        <f>Sheet2!B101</f>
        <v>0.21008450000000001</v>
      </c>
      <c r="H64" s="3">
        <f>Sheet2!C101</f>
        <v>9.0537900000000004E-2</v>
      </c>
    </row>
    <row r="65" spans="1:8">
      <c r="A65" t="s">
        <v>7</v>
      </c>
      <c r="C65" t="s">
        <v>454</v>
      </c>
      <c r="D65" t="s">
        <v>72</v>
      </c>
      <c r="E65" t="s">
        <v>9</v>
      </c>
      <c r="G65" s="3">
        <f>Sheet2!B102</f>
        <v>0.16930319999999999</v>
      </c>
      <c r="H65" s="3">
        <f>Sheet2!C102</f>
        <v>8.9613399999999996E-2</v>
      </c>
    </row>
    <row r="66" spans="1:8">
      <c r="A66" t="s">
        <v>7</v>
      </c>
      <c r="C66" t="s">
        <v>454</v>
      </c>
      <c r="D66" t="s">
        <v>73</v>
      </c>
      <c r="E66" t="s">
        <v>9</v>
      </c>
      <c r="G66" s="3">
        <f>Sheet2!B103</f>
        <v>0.1444616</v>
      </c>
      <c r="H66" s="3">
        <f>Sheet2!C103</f>
        <v>9.2274599999999998E-2</v>
      </c>
    </row>
    <row r="67" spans="1:8">
      <c r="A67" t="s">
        <v>7</v>
      </c>
      <c r="C67" t="s">
        <v>454</v>
      </c>
      <c r="D67" t="s">
        <v>74</v>
      </c>
      <c r="E67" t="s">
        <v>9</v>
      </c>
      <c r="G67" s="3">
        <f>Sheet2!B104</f>
        <v>0.15874450000000001</v>
      </c>
      <c r="H67" s="3">
        <f>Sheet2!C104</f>
        <v>8.8337299999999994E-2</v>
      </c>
    </row>
    <row r="68" spans="1:8">
      <c r="A68" t="s">
        <v>7</v>
      </c>
      <c r="C68" t="s">
        <v>454</v>
      </c>
      <c r="D68" t="s">
        <v>75</v>
      </c>
      <c r="E68" t="s">
        <v>9</v>
      </c>
      <c r="G68" s="3">
        <f>Sheet2!B105</f>
        <v>0.12892200000000001</v>
      </c>
      <c r="H68" s="3">
        <f>Sheet2!C105</f>
        <v>8.1403400000000001E-2</v>
      </c>
    </row>
    <row r="69" spans="1:8">
      <c r="A69" t="s">
        <v>7</v>
      </c>
      <c r="C69" t="s">
        <v>454</v>
      </c>
      <c r="D69" t="s">
        <v>76</v>
      </c>
      <c r="E69" t="s">
        <v>9</v>
      </c>
      <c r="G69" s="3">
        <f>Sheet2!B106</f>
        <v>0.1185257</v>
      </c>
      <c r="H69" s="3">
        <f>Sheet2!C106</f>
        <v>7.7700099999999994E-2</v>
      </c>
    </row>
    <row r="70" spans="1:8">
      <c r="A70" t="s">
        <v>7</v>
      </c>
      <c r="C70" t="s">
        <v>454</v>
      </c>
      <c r="D70" t="s">
        <v>77</v>
      </c>
      <c r="E70" t="s">
        <v>9</v>
      </c>
      <c r="G70" s="3">
        <f>Sheet2!B107</f>
        <v>0.1024279</v>
      </c>
      <c r="H70" s="3">
        <f>Sheet2!C107</f>
        <v>6.2371799999999998E-2</v>
      </c>
    </row>
    <row r="71" spans="1:8">
      <c r="A71" t="s">
        <v>7</v>
      </c>
      <c r="C71" t="s">
        <v>454</v>
      </c>
      <c r="D71" t="s">
        <v>78</v>
      </c>
      <c r="E71" t="s">
        <v>9</v>
      </c>
      <c r="G71" s="3">
        <f>Sheet2!B108</f>
        <v>0.11665159999999999</v>
      </c>
      <c r="H71" s="3">
        <f>Sheet2!C108</f>
        <v>7.5914599999999999E-2</v>
      </c>
    </row>
    <row r="72" spans="1:8">
      <c r="A72" t="s">
        <v>7</v>
      </c>
      <c r="C72" t="s">
        <v>454</v>
      </c>
      <c r="D72" t="s">
        <v>79</v>
      </c>
      <c r="E72" t="s">
        <v>9</v>
      </c>
      <c r="G72" s="3">
        <f>1-(G62+G52+G42)</f>
        <v>-1.0000000005838672E-7</v>
      </c>
      <c r="H72" s="3">
        <f>1-(H62+H52+H42)</f>
        <v>0</v>
      </c>
    </row>
    <row r="73" spans="1:8">
      <c r="A73" t="s">
        <v>7</v>
      </c>
      <c r="C73" t="s">
        <v>454</v>
      </c>
      <c r="D73" t="s">
        <v>80</v>
      </c>
      <c r="E73" t="s">
        <v>9</v>
      </c>
      <c r="G73" s="3">
        <f t="shared" ref="G73:H73" si="0">1-(G63+G53+G43)</f>
        <v>0</v>
      </c>
      <c r="H73" s="3">
        <f t="shared" si="0"/>
        <v>0</v>
      </c>
    </row>
    <row r="74" spans="1:8">
      <c r="A74" t="s">
        <v>7</v>
      </c>
      <c r="C74" t="s">
        <v>454</v>
      </c>
      <c r="D74" t="s">
        <v>81</v>
      </c>
      <c r="E74" t="s">
        <v>9</v>
      </c>
      <c r="G74" s="3">
        <f t="shared" ref="G74:H74" si="1">1-(G64+G54+G44)</f>
        <v>0</v>
      </c>
      <c r="H74" s="3">
        <f t="shared" si="1"/>
        <v>0</v>
      </c>
    </row>
    <row r="75" spans="1:8">
      <c r="A75" t="s">
        <v>7</v>
      </c>
      <c r="C75" t="s">
        <v>454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-1.0000000005838672E-7</v>
      </c>
    </row>
    <row r="76" spans="1:8">
      <c r="A76" t="s">
        <v>7</v>
      </c>
      <c r="C76" t="s">
        <v>454</v>
      </c>
      <c r="D76" t="s">
        <v>83</v>
      </c>
      <c r="E76" t="s">
        <v>9</v>
      </c>
      <c r="G76" s="3">
        <f t="shared" ref="G76:H76" si="3">1-(G66+G56+G46)</f>
        <v>-1.0000000005838672E-7</v>
      </c>
      <c r="H76" s="3">
        <f t="shared" si="3"/>
        <v>-1.0000000005838672E-7</v>
      </c>
    </row>
    <row r="77" spans="1:8">
      <c r="A77" t="s">
        <v>7</v>
      </c>
      <c r="C77" t="s">
        <v>454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454</v>
      </c>
      <c r="D78" t="s">
        <v>85</v>
      </c>
      <c r="E78" t="s">
        <v>9</v>
      </c>
      <c r="G78" s="3">
        <f t="shared" ref="G78:H78" si="5">1-(G68+G58+G48)</f>
        <v>1.0000000005838672E-7</v>
      </c>
      <c r="H78" s="3">
        <f t="shared" si="5"/>
        <v>0</v>
      </c>
    </row>
    <row r="79" spans="1:8">
      <c r="A79" t="s">
        <v>7</v>
      </c>
      <c r="C79" t="s">
        <v>454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9.9999999947364415E-8</v>
      </c>
    </row>
    <row r="80" spans="1:8">
      <c r="A80" t="s">
        <v>7</v>
      </c>
      <c r="C80" t="s">
        <v>454</v>
      </c>
      <c r="D80" t="s">
        <v>87</v>
      </c>
      <c r="E80" t="s">
        <v>9</v>
      </c>
      <c r="G80" s="3">
        <f t="shared" ref="G80:H80" si="7">1-(G70+G60+G50)</f>
        <v>0</v>
      </c>
      <c r="H80" s="3">
        <f t="shared" si="7"/>
        <v>0</v>
      </c>
    </row>
    <row r="81" spans="1:8">
      <c r="A81" t="s">
        <v>7</v>
      </c>
      <c r="C81" t="s">
        <v>454</v>
      </c>
      <c r="D81" t="s">
        <v>88</v>
      </c>
      <c r="E81" t="s">
        <v>9</v>
      </c>
      <c r="G81" s="3">
        <f t="shared" ref="G81:H81" si="8">1-(G71+G61+G51)</f>
        <v>-1.0000000005838672E-7</v>
      </c>
      <c r="H81" s="3">
        <f t="shared" si="8"/>
        <v>0</v>
      </c>
    </row>
    <row r="82" spans="1:8">
      <c r="A82" t="s">
        <v>7</v>
      </c>
      <c r="C82" t="s">
        <v>454</v>
      </c>
      <c r="D82" t="s">
        <v>89</v>
      </c>
      <c r="E82" t="s">
        <v>9</v>
      </c>
      <c r="G82" s="4">
        <f>Sheet2!B154</f>
        <v>-107.23690000000001</v>
      </c>
      <c r="H82" s="4">
        <f>Sheet2!C154</f>
        <v>-17.34198</v>
      </c>
    </row>
    <row r="83" spans="1:8">
      <c r="A83" t="s">
        <v>7</v>
      </c>
      <c r="C83" t="s">
        <v>454</v>
      </c>
      <c r="D83" t="s">
        <v>90</v>
      </c>
      <c r="E83" t="s">
        <v>9</v>
      </c>
      <c r="G83" s="4">
        <f>Sheet2!B155</f>
        <v>-3.215967</v>
      </c>
      <c r="H83" s="4">
        <f>Sheet2!C155</f>
        <v>-1.5997060000000001</v>
      </c>
    </row>
    <row r="84" spans="1:8">
      <c r="A84" t="s">
        <v>7</v>
      </c>
      <c r="C84" t="s">
        <v>454</v>
      </c>
      <c r="D84" t="s">
        <v>91</v>
      </c>
      <c r="E84" t="s">
        <v>9</v>
      </c>
      <c r="G84" s="4">
        <f>Sheet2!B156</f>
        <v>-1.8189</v>
      </c>
      <c r="H84" s="4">
        <f>Sheet2!C156</f>
        <v>-0.84069190000000005</v>
      </c>
    </row>
    <row r="85" spans="1:8">
      <c r="A85" t="s">
        <v>7</v>
      </c>
      <c r="C85" t="s">
        <v>454</v>
      </c>
      <c r="D85" t="s">
        <v>92</v>
      </c>
      <c r="E85" t="s">
        <v>9</v>
      </c>
      <c r="G85" s="4">
        <f>Sheet2!B157</f>
        <v>-1.1538409999999999</v>
      </c>
      <c r="H85" s="4">
        <f>Sheet2!C157</f>
        <v>-0.59633020000000003</v>
      </c>
    </row>
    <row r="86" spans="1:8">
      <c r="A86" t="s">
        <v>7</v>
      </c>
      <c r="C86" t="s">
        <v>454</v>
      </c>
      <c r="D86" t="s">
        <v>93</v>
      </c>
      <c r="E86" t="s">
        <v>9</v>
      </c>
      <c r="G86" s="4">
        <f>Sheet2!B158</f>
        <v>-0.91058499999999998</v>
      </c>
      <c r="H86" s="4">
        <f>Sheet2!C158</f>
        <v>-0.3363025</v>
      </c>
    </row>
    <row r="87" spans="1:8">
      <c r="A87" t="s">
        <v>7</v>
      </c>
      <c r="C87" t="s">
        <v>454</v>
      </c>
      <c r="D87" t="s">
        <v>94</v>
      </c>
      <c r="E87" t="s">
        <v>9</v>
      </c>
      <c r="G87" s="4">
        <f>Sheet2!B159</f>
        <v>-0.57239499999999999</v>
      </c>
      <c r="H87" s="4">
        <f>Sheet2!C159</f>
        <v>-0.14508260000000001</v>
      </c>
    </row>
    <row r="88" spans="1:8">
      <c r="A88" t="s">
        <v>7</v>
      </c>
      <c r="C88" t="s">
        <v>454</v>
      </c>
      <c r="D88" t="s">
        <v>95</v>
      </c>
      <c r="E88" t="s">
        <v>9</v>
      </c>
      <c r="G88" s="4">
        <f>Sheet2!B160</f>
        <v>-0.43006450000000002</v>
      </c>
      <c r="H88" s="4">
        <f>Sheet2!C160</f>
        <v>-1.9368699999999999E-2</v>
      </c>
    </row>
    <row r="89" spans="1:8">
      <c r="A89" t="s">
        <v>7</v>
      </c>
      <c r="C89" t="s">
        <v>454</v>
      </c>
      <c r="D89" t="s">
        <v>96</v>
      </c>
      <c r="E89" t="s">
        <v>9</v>
      </c>
      <c r="G89" s="4">
        <f>Sheet2!B161</f>
        <v>-5.9901999999999997E-2</v>
      </c>
      <c r="H89" s="4">
        <f>Sheet2!C161</f>
        <v>8.8201600000000005E-2</v>
      </c>
    </row>
    <row r="90" spans="1:8">
      <c r="A90" t="s">
        <v>7</v>
      </c>
      <c r="C90" t="s">
        <v>454</v>
      </c>
      <c r="D90" t="s">
        <v>97</v>
      </c>
      <c r="E90" t="s">
        <v>9</v>
      </c>
      <c r="G90" s="4">
        <f>Sheet2!B162</f>
        <v>-9.6796999999999994E-3</v>
      </c>
      <c r="H90" s="4">
        <f>Sheet2!C162</f>
        <v>0.24618789999999999</v>
      </c>
    </row>
    <row r="91" spans="1:8">
      <c r="A91" t="s">
        <v>7</v>
      </c>
      <c r="C91" t="s">
        <v>454</v>
      </c>
      <c r="D91" t="s">
        <v>98</v>
      </c>
      <c r="E91" t="s">
        <v>9</v>
      </c>
      <c r="G91" s="4">
        <f>Sheet2!B163</f>
        <v>0.31816620000000001</v>
      </c>
      <c r="H91" s="4">
        <f>Sheet2!C163</f>
        <v>0.40645500000000001</v>
      </c>
    </row>
    <row r="92" spans="1:8">
      <c r="A92" t="s">
        <v>7</v>
      </c>
      <c r="C92" t="s">
        <v>454</v>
      </c>
      <c r="D92" t="s">
        <v>99</v>
      </c>
      <c r="E92" t="s">
        <v>9</v>
      </c>
      <c r="G92" s="3">
        <f>Sheet2!B191</f>
        <v>0.3737859</v>
      </c>
      <c r="H92" s="3">
        <f>Sheet2!C191</f>
        <v>0.4885544</v>
      </c>
    </row>
    <row r="93" spans="1:8">
      <c r="A93" t="s">
        <v>7</v>
      </c>
      <c r="C93" t="s">
        <v>454</v>
      </c>
      <c r="D93" t="s">
        <v>100</v>
      </c>
      <c r="E93" t="s">
        <v>9</v>
      </c>
      <c r="G93" s="3">
        <f>Sheet2!B192</f>
        <v>0.36976949999999997</v>
      </c>
      <c r="H93" s="3">
        <f>Sheet2!C192</f>
        <v>0.43749749999999998</v>
      </c>
    </row>
    <row r="94" spans="1:8">
      <c r="A94" t="s">
        <v>7</v>
      </c>
      <c r="C94" t="s">
        <v>454</v>
      </c>
      <c r="D94" t="s">
        <v>101</v>
      </c>
      <c r="E94" t="s">
        <v>9</v>
      </c>
      <c r="G94" s="3">
        <f>Sheet2!B193</f>
        <v>0.35520639999999998</v>
      </c>
      <c r="H94" s="3">
        <f>Sheet2!C193</f>
        <v>0.47266819999999998</v>
      </c>
    </row>
    <row r="95" spans="1:8">
      <c r="A95" t="s">
        <v>7</v>
      </c>
      <c r="C95" t="s">
        <v>454</v>
      </c>
      <c r="D95" t="s">
        <v>102</v>
      </c>
      <c r="E95" t="s">
        <v>9</v>
      </c>
      <c r="G95" s="3">
        <f>Sheet2!B194</f>
        <v>0.36666609999999999</v>
      </c>
      <c r="H95" s="3">
        <f>Sheet2!C194</f>
        <v>0.4514533</v>
      </c>
    </row>
    <row r="96" spans="1:8">
      <c r="A96" t="s">
        <v>7</v>
      </c>
      <c r="C96" t="s">
        <v>454</v>
      </c>
      <c r="D96" t="s">
        <v>103</v>
      </c>
      <c r="E96" t="s">
        <v>9</v>
      </c>
      <c r="G96" s="3">
        <f>Sheet2!B195</f>
        <v>0.38721559999999999</v>
      </c>
      <c r="H96" s="3">
        <f>Sheet2!C195</f>
        <v>0.4517216</v>
      </c>
    </row>
    <row r="97" spans="1:8">
      <c r="A97" t="s">
        <v>7</v>
      </c>
      <c r="C97" t="s">
        <v>454</v>
      </c>
      <c r="D97" t="s">
        <v>104</v>
      </c>
      <c r="E97" t="s">
        <v>9</v>
      </c>
      <c r="G97" s="3">
        <f>Sheet2!B196</f>
        <v>0.3636836</v>
      </c>
      <c r="H97" s="3">
        <f>Sheet2!C196</f>
        <v>0.47367029999999999</v>
      </c>
    </row>
    <row r="98" spans="1:8">
      <c r="A98" t="s">
        <v>7</v>
      </c>
      <c r="C98" t="s">
        <v>454</v>
      </c>
      <c r="D98" t="s">
        <v>105</v>
      </c>
      <c r="E98" t="s">
        <v>9</v>
      </c>
      <c r="G98" s="3">
        <f>Sheet2!B197</f>
        <v>0.3453426</v>
      </c>
      <c r="H98" s="3">
        <f>Sheet2!C197</f>
        <v>0.48942530000000001</v>
      </c>
    </row>
    <row r="99" spans="1:8">
      <c r="A99" t="s">
        <v>7</v>
      </c>
      <c r="C99" t="s">
        <v>454</v>
      </c>
      <c r="D99" t="s">
        <v>106</v>
      </c>
      <c r="E99" t="s">
        <v>9</v>
      </c>
      <c r="G99" s="3">
        <f>Sheet2!B198</f>
        <v>0.34722120000000001</v>
      </c>
      <c r="H99" s="3">
        <f>Sheet2!C198</f>
        <v>0.48243550000000002</v>
      </c>
    </row>
    <row r="100" spans="1:8">
      <c r="A100" t="s">
        <v>7</v>
      </c>
      <c r="C100" t="s">
        <v>454</v>
      </c>
      <c r="D100" t="s">
        <v>107</v>
      </c>
      <c r="E100" t="s">
        <v>9</v>
      </c>
      <c r="G100" s="3">
        <f>Sheet2!B199</f>
        <v>0.3156233</v>
      </c>
      <c r="H100" s="3">
        <f>Sheet2!C199</f>
        <v>0.50860070000000002</v>
      </c>
    </row>
    <row r="101" spans="1:8">
      <c r="A101" t="s">
        <v>7</v>
      </c>
      <c r="C101" t="s">
        <v>454</v>
      </c>
      <c r="D101" t="s">
        <v>108</v>
      </c>
      <c r="E101" t="s">
        <v>9</v>
      </c>
      <c r="G101" s="3">
        <f>Sheet2!B200</f>
        <v>0.2571446</v>
      </c>
      <c r="H101" s="3">
        <f>Sheet2!C200</f>
        <v>0.51482930000000005</v>
      </c>
    </row>
    <row r="102" spans="1:8">
      <c r="A102" t="s">
        <v>7</v>
      </c>
      <c r="C102" t="s">
        <v>454</v>
      </c>
      <c r="D102" t="s">
        <v>109</v>
      </c>
      <c r="E102" t="s">
        <v>9</v>
      </c>
      <c r="G102" s="3">
        <f>Sheet2!B209</f>
        <v>0.12448389999999999</v>
      </c>
      <c r="H102" s="3">
        <f>Sheet2!C209</f>
        <v>5.1211199999999998E-2</v>
      </c>
    </row>
    <row r="103" spans="1:8">
      <c r="A103" t="s">
        <v>7</v>
      </c>
      <c r="C103" t="s">
        <v>454</v>
      </c>
      <c r="D103" t="s">
        <v>110</v>
      </c>
      <c r="E103" t="s">
        <v>9</v>
      </c>
      <c r="G103" s="3">
        <f>Sheet2!B210</f>
        <v>0.1147331</v>
      </c>
      <c r="H103" s="3">
        <f>Sheet2!C210</f>
        <v>4.7509200000000001E-2</v>
      </c>
    </row>
    <row r="104" spans="1:8">
      <c r="A104" t="s">
        <v>7</v>
      </c>
      <c r="C104" t="s">
        <v>454</v>
      </c>
      <c r="D104" t="s">
        <v>111</v>
      </c>
      <c r="E104" t="s">
        <v>9</v>
      </c>
      <c r="G104" s="3">
        <f>Sheet2!B211</f>
        <v>0.10376730000000001</v>
      </c>
      <c r="H104" s="3">
        <f>Sheet2!C211</f>
        <v>4.5802200000000001E-2</v>
      </c>
    </row>
    <row r="105" spans="1:8">
      <c r="A105" t="s">
        <v>7</v>
      </c>
      <c r="C105" t="s">
        <v>454</v>
      </c>
      <c r="D105" t="s">
        <v>112</v>
      </c>
      <c r="E105" t="s">
        <v>9</v>
      </c>
      <c r="G105" s="3">
        <f>Sheet2!B212</f>
        <v>9.1489600000000004E-2</v>
      </c>
      <c r="H105" s="3">
        <f>Sheet2!C212</f>
        <v>6.3436199999999998E-2</v>
      </c>
    </row>
    <row r="106" spans="1:8">
      <c r="A106" t="s">
        <v>7</v>
      </c>
      <c r="C106" t="s">
        <v>454</v>
      </c>
      <c r="D106" t="s">
        <v>113</v>
      </c>
      <c r="E106" t="s">
        <v>9</v>
      </c>
      <c r="G106" s="3">
        <f>Sheet2!B213</f>
        <v>0.1192782</v>
      </c>
      <c r="H106" s="3">
        <f>Sheet2!C213</f>
        <v>6.8781800000000004E-2</v>
      </c>
    </row>
    <row r="107" spans="1:8">
      <c r="A107" t="s">
        <v>7</v>
      </c>
      <c r="C107" t="s">
        <v>454</v>
      </c>
      <c r="D107" t="s">
        <v>114</v>
      </c>
      <c r="E107" t="s">
        <v>9</v>
      </c>
      <c r="G107" s="3">
        <f>Sheet2!B214</f>
        <v>0.1263774</v>
      </c>
      <c r="H107" s="3">
        <f>Sheet2!C214</f>
        <v>5.68911E-2</v>
      </c>
    </row>
    <row r="108" spans="1:8">
      <c r="A108" t="s">
        <v>7</v>
      </c>
      <c r="C108" t="s">
        <v>454</v>
      </c>
      <c r="D108" t="s">
        <v>115</v>
      </c>
      <c r="E108" t="s">
        <v>9</v>
      </c>
      <c r="G108" s="3">
        <f>Sheet2!B215</f>
        <v>0.12682840000000001</v>
      </c>
      <c r="H108" s="3">
        <f>Sheet2!C215</f>
        <v>6.8147200000000005E-2</v>
      </c>
    </row>
    <row r="109" spans="1:8">
      <c r="A109" t="s">
        <v>7</v>
      </c>
      <c r="C109" t="s">
        <v>454</v>
      </c>
      <c r="D109" t="s">
        <v>116</v>
      </c>
      <c r="E109" t="s">
        <v>9</v>
      </c>
      <c r="G109" s="3">
        <f>Sheet2!B216</f>
        <v>0.11572830000000001</v>
      </c>
      <c r="H109" s="3">
        <f>Sheet2!C216</f>
        <v>5.9134399999999997E-2</v>
      </c>
    </row>
    <row r="110" spans="1:8">
      <c r="A110" t="s">
        <v>7</v>
      </c>
      <c r="C110" t="s">
        <v>454</v>
      </c>
      <c r="D110" t="s">
        <v>117</v>
      </c>
      <c r="E110" t="s">
        <v>9</v>
      </c>
      <c r="G110" s="3">
        <f>Sheet2!B217</f>
        <v>0.1188314</v>
      </c>
      <c r="H110" s="3">
        <f>Sheet2!C217</f>
        <v>6.8095299999999997E-2</v>
      </c>
    </row>
    <row r="111" spans="1:8">
      <c r="A111" t="s">
        <v>7</v>
      </c>
      <c r="C111" t="s">
        <v>454</v>
      </c>
      <c r="D111" t="s">
        <v>118</v>
      </c>
      <c r="E111" t="s">
        <v>9</v>
      </c>
      <c r="G111" s="3">
        <f>Sheet2!B218</f>
        <v>0.1115497</v>
      </c>
      <c r="H111" s="3">
        <f>Sheet2!C218</f>
        <v>7.7329400000000006E-2</v>
      </c>
    </row>
    <row r="112" spans="1:8">
      <c r="A112" t="s">
        <v>7</v>
      </c>
      <c r="C112" t="s">
        <v>454</v>
      </c>
      <c r="D112" t="s">
        <v>119</v>
      </c>
      <c r="E112" t="s">
        <v>9</v>
      </c>
      <c r="G112" s="3">
        <f>Sheet2!B227</f>
        <v>7.6004199999999994E-2</v>
      </c>
      <c r="H112" s="3">
        <f>Sheet2!C227</f>
        <v>1.49821E-2</v>
      </c>
    </row>
    <row r="113" spans="1:8">
      <c r="A113" t="s">
        <v>7</v>
      </c>
      <c r="C113" t="s">
        <v>454</v>
      </c>
      <c r="D113" t="s">
        <v>120</v>
      </c>
      <c r="E113" t="s">
        <v>9</v>
      </c>
      <c r="G113" s="3">
        <f>Sheet2!B228</f>
        <v>6.27389E-2</v>
      </c>
      <c r="H113" s="3">
        <f>Sheet2!C228</f>
        <v>1.1040700000000001E-2</v>
      </c>
    </row>
    <row r="114" spans="1:8">
      <c r="A114" t="s">
        <v>7</v>
      </c>
      <c r="C114" t="s">
        <v>454</v>
      </c>
      <c r="D114" t="s">
        <v>121</v>
      </c>
      <c r="E114" t="s">
        <v>9</v>
      </c>
      <c r="G114" s="3">
        <f>Sheet2!B229</f>
        <v>7.1302900000000002E-2</v>
      </c>
      <c r="H114" s="3">
        <f>Sheet2!C229</f>
        <v>1.6940400000000001E-2</v>
      </c>
    </row>
    <row r="115" spans="1:8">
      <c r="A115" t="s">
        <v>7</v>
      </c>
      <c r="C115" t="s">
        <v>454</v>
      </c>
      <c r="D115" t="s">
        <v>122</v>
      </c>
      <c r="E115" t="s">
        <v>9</v>
      </c>
      <c r="G115" s="3">
        <f>Sheet2!B230</f>
        <v>6.5549700000000002E-2</v>
      </c>
      <c r="H115" s="3">
        <f>Sheet2!C230</f>
        <v>1.2887300000000001E-2</v>
      </c>
    </row>
    <row r="116" spans="1:8">
      <c r="A116" t="s">
        <v>7</v>
      </c>
      <c r="C116" t="s">
        <v>454</v>
      </c>
      <c r="D116" t="s">
        <v>123</v>
      </c>
      <c r="E116" t="s">
        <v>9</v>
      </c>
      <c r="G116" s="3">
        <f>Sheet2!B231</f>
        <v>8.1350800000000001E-2</v>
      </c>
      <c r="H116" s="3">
        <f>Sheet2!C231</f>
        <v>1.9680300000000001E-2</v>
      </c>
    </row>
    <row r="117" spans="1:8">
      <c r="A117" t="s">
        <v>7</v>
      </c>
      <c r="C117" t="s">
        <v>454</v>
      </c>
      <c r="D117" t="s">
        <v>124</v>
      </c>
      <c r="E117" t="s">
        <v>9</v>
      </c>
      <c r="G117" s="3">
        <f>Sheet2!B232</f>
        <v>8.9017600000000002E-2</v>
      </c>
      <c r="H117" s="3">
        <f>Sheet2!C232</f>
        <v>2.1921300000000001E-2</v>
      </c>
    </row>
    <row r="118" spans="1:8">
      <c r="A118" t="s">
        <v>7</v>
      </c>
      <c r="C118" t="s">
        <v>454</v>
      </c>
      <c r="D118" t="s">
        <v>125</v>
      </c>
      <c r="E118" t="s">
        <v>9</v>
      </c>
      <c r="G118" s="3">
        <f>Sheet2!B233</f>
        <v>0.1014901</v>
      </c>
      <c r="H118" s="3">
        <f>Sheet2!C233</f>
        <v>2.981E-2</v>
      </c>
    </row>
    <row r="119" spans="1:8">
      <c r="A119" t="s">
        <v>7</v>
      </c>
      <c r="C119" t="s">
        <v>454</v>
      </c>
      <c r="D119" t="s">
        <v>126</v>
      </c>
      <c r="E119" t="s">
        <v>9</v>
      </c>
      <c r="G119" s="3">
        <f>Sheet2!B234</f>
        <v>0.1034795</v>
      </c>
      <c r="H119" s="3">
        <f>Sheet2!C234</f>
        <v>3.3921399999999997E-2</v>
      </c>
    </row>
    <row r="120" spans="1:8">
      <c r="A120" t="s">
        <v>7</v>
      </c>
      <c r="C120" t="s">
        <v>454</v>
      </c>
      <c r="D120" t="s">
        <v>127</v>
      </c>
      <c r="E120" t="s">
        <v>9</v>
      </c>
      <c r="G120" s="3">
        <f>Sheet2!B235</f>
        <v>0.14265910000000001</v>
      </c>
      <c r="H120" s="3">
        <f>Sheet2!C235</f>
        <v>3.95526E-2</v>
      </c>
    </row>
    <row r="121" spans="1:8">
      <c r="A121" t="s">
        <v>7</v>
      </c>
      <c r="C121" t="s">
        <v>454</v>
      </c>
      <c r="D121" t="s">
        <v>128</v>
      </c>
      <c r="E121" t="s">
        <v>9</v>
      </c>
      <c r="G121" s="3">
        <f>Sheet2!B236</f>
        <v>0.1713597</v>
      </c>
      <c r="H121" s="3">
        <f>Sheet2!C236</f>
        <v>5.1257999999999998E-2</v>
      </c>
    </row>
    <row r="122" spans="1:8">
      <c r="A122" t="s">
        <v>7</v>
      </c>
      <c r="C122" t="s">
        <v>454</v>
      </c>
      <c r="D122" t="s">
        <v>129</v>
      </c>
      <c r="E122" t="s">
        <v>9</v>
      </c>
      <c r="G122" s="3">
        <f>Sheet2!B245</f>
        <v>1.67279E-2</v>
      </c>
      <c r="H122" s="3">
        <f>Sheet2!C245</f>
        <v>4.6250000000000002E-4</v>
      </c>
    </row>
    <row r="123" spans="1:8">
      <c r="A123" t="s">
        <v>7</v>
      </c>
      <c r="C123" t="s">
        <v>454</v>
      </c>
      <c r="D123" t="s">
        <v>130</v>
      </c>
      <c r="E123" t="s">
        <v>9</v>
      </c>
      <c r="G123" s="3">
        <f>Sheet2!B246</f>
        <v>1.03664E-2</v>
      </c>
      <c r="H123" s="3">
        <f>Sheet2!C246</f>
        <v>1.8513E-3</v>
      </c>
    </row>
    <row r="124" spans="1:8">
      <c r="A124" t="s">
        <v>7</v>
      </c>
      <c r="C124" t="s">
        <v>454</v>
      </c>
      <c r="D124" t="s">
        <v>131</v>
      </c>
      <c r="E124" t="s">
        <v>9</v>
      </c>
      <c r="G124" s="3">
        <f>Sheet2!B247</f>
        <v>1.93206E-2</v>
      </c>
      <c r="H124" s="3">
        <f>Sheet2!C247</f>
        <v>8.6660000000000003E-4</v>
      </c>
    </row>
    <row r="125" spans="1:8">
      <c r="A125" t="s">
        <v>7</v>
      </c>
      <c r="C125" t="s">
        <v>454</v>
      </c>
      <c r="D125" t="s">
        <v>132</v>
      </c>
      <c r="E125" t="s">
        <v>9</v>
      </c>
      <c r="G125" s="3">
        <f>Sheet2!B248</f>
        <v>3.1224999999999998E-3</v>
      </c>
      <c r="H125" s="3">
        <f>Sheet2!C248</f>
        <v>6.0639999999999999E-4</v>
      </c>
    </row>
    <row r="126" spans="1:8">
      <c r="A126" t="s">
        <v>7</v>
      </c>
      <c r="C126" t="s">
        <v>454</v>
      </c>
      <c r="D126" t="s">
        <v>133</v>
      </c>
      <c r="E126" t="s">
        <v>9</v>
      </c>
      <c r="G126" s="3">
        <f>Sheet2!B249</f>
        <v>8.7884999999999994E-3</v>
      </c>
      <c r="H126" s="3">
        <f>Sheet2!C249</f>
        <v>7.6749999999999995E-4</v>
      </c>
    </row>
    <row r="127" spans="1:8">
      <c r="A127" t="s">
        <v>7</v>
      </c>
      <c r="C127" t="s">
        <v>454</v>
      </c>
      <c r="D127" t="s">
        <v>134</v>
      </c>
      <c r="E127" t="s">
        <v>9</v>
      </c>
      <c r="G127" s="3">
        <f>Sheet2!B250</f>
        <v>8.8395000000000001E-3</v>
      </c>
      <c r="H127" s="3">
        <f>Sheet2!C250</f>
        <v>1.2359999999999999E-3</v>
      </c>
    </row>
    <row r="128" spans="1:8">
      <c r="A128" t="s">
        <v>7</v>
      </c>
      <c r="C128" t="s">
        <v>454</v>
      </c>
      <c r="D128" t="s">
        <v>135</v>
      </c>
      <c r="E128" t="s">
        <v>9</v>
      </c>
      <c r="G128" s="3">
        <f>Sheet2!B251</f>
        <v>2.3395800000000001E-2</v>
      </c>
      <c r="H128" s="3">
        <f>Sheet2!C251</f>
        <v>5.1324999999999999E-3</v>
      </c>
    </row>
    <row r="129" spans="1:8">
      <c r="A129" t="s">
        <v>7</v>
      </c>
      <c r="C129" t="s">
        <v>454</v>
      </c>
      <c r="D129" t="s">
        <v>136</v>
      </c>
      <c r="E129" t="s">
        <v>9</v>
      </c>
      <c r="G129" s="3">
        <f>Sheet2!B252</f>
        <v>2.5097000000000001E-2</v>
      </c>
      <c r="H129" s="3">
        <f>Sheet2!C252</f>
        <v>1.3659E-3</v>
      </c>
    </row>
    <row r="130" spans="1:8">
      <c r="A130" t="s">
        <v>7</v>
      </c>
      <c r="C130" t="s">
        <v>454</v>
      </c>
      <c r="D130" t="s">
        <v>137</v>
      </c>
      <c r="E130" t="s">
        <v>9</v>
      </c>
      <c r="G130" s="3">
        <f>Sheet2!B253</f>
        <v>4.98544E-2</v>
      </c>
      <c r="H130" s="3">
        <f>Sheet2!C253</f>
        <v>7.5531000000000001E-3</v>
      </c>
    </row>
    <row r="131" spans="1:8">
      <c r="A131" t="s">
        <v>7</v>
      </c>
      <c r="C131" t="s">
        <v>454</v>
      </c>
      <c r="D131" t="s">
        <v>138</v>
      </c>
      <c r="E131" t="s">
        <v>9</v>
      </c>
      <c r="G131" s="3">
        <f>Sheet2!B254</f>
        <v>0.1516468</v>
      </c>
      <c r="H131" s="3">
        <f>Sheet2!C254</f>
        <v>2.2963500000000001E-2</v>
      </c>
    </row>
    <row r="132" spans="1:8">
      <c r="A132" t="s">
        <v>7</v>
      </c>
      <c r="C132" t="s">
        <v>454</v>
      </c>
      <c r="D132" t="s">
        <v>139</v>
      </c>
      <c r="E132" t="s">
        <v>140</v>
      </c>
      <c r="G132" s="6">
        <f>Sheet2!B303</f>
        <v>0.60909999999999997</v>
      </c>
      <c r="H132" s="6">
        <f>Sheet2!C303</f>
        <v>0.57184999999999997</v>
      </c>
    </row>
    <row r="133" spans="1:8">
      <c r="A133" t="s">
        <v>7</v>
      </c>
      <c r="C133" t="s">
        <v>454</v>
      </c>
      <c r="D133" t="s">
        <v>141</v>
      </c>
      <c r="E133" t="s">
        <v>9</v>
      </c>
      <c r="G133" s="6">
        <f>Sheet2!B263</f>
        <v>0.21312600000000001</v>
      </c>
      <c r="H133" s="6">
        <f>Sheet2!C263</f>
        <v>0.296788</v>
      </c>
    </row>
    <row r="134" spans="1:8">
      <c r="A134" t="s">
        <v>7</v>
      </c>
      <c r="C134" t="s">
        <v>454</v>
      </c>
      <c r="D134" t="s">
        <v>142</v>
      </c>
      <c r="E134" t="s">
        <v>143</v>
      </c>
      <c r="G134" s="6">
        <f>Sheet2!B329</f>
        <v>5.0506019592285201</v>
      </c>
      <c r="H134" s="6">
        <f>Sheet2!C329</f>
        <v>5.19632768630981</v>
      </c>
    </row>
    <row r="135" spans="1:8">
      <c r="A135" t="s">
        <v>7</v>
      </c>
      <c r="C135" t="s">
        <v>454</v>
      </c>
      <c r="D135" t="s">
        <v>144</v>
      </c>
      <c r="E135" t="s">
        <v>143</v>
      </c>
      <c r="G135" s="6">
        <f>Sheet2!B330</f>
        <v>5.2339816093444798</v>
      </c>
      <c r="H135" s="6">
        <f>Sheet2!C330</f>
        <v>5.5036354064941397</v>
      </c>
    </row>
    <row r="136" spans="1:8">
      <c r="A136" t="s">
        <v>7</v>
      </c>
      <c r="C136" t="s">
        <v>454</v>
      </c>
      <c r="D136" t="s">
        <v>145</v>
      </c>
      <c r="E136" t="s">
        <v>143</v>
      </c>
      <c r="G136" s="6">
        <f>Sheet2!B331</f>
        <v>5.8770618438720703</v>
      </c>
      <c r="H136" s="6">
        <f>Sheet2!C331</f>
        <v>5.4373612403869602</v>
      </c>
    </row>
    <row r="137" spans="1:8">
      <c r="A137" t="s">
        <v>7</v>
      </c>
      <c r="C137" t="s">
        <v>454</v>
      </c>
      <c r="D137" t="s">
        <v>146</v>
      </c>
      <c r="E137" t="s">
        <v>143</v>
      </c>
      <c r="G137" s="6">
        <f>Sheet2!B332</f>
        <v>5.3252429962158203</v>
      </c>
      <c r="H137" s="6">
        <f>Sheet2!C332</f>
        <v>5.28395700454712</v>
      </c>
    </row>
    <row r="138" spans="1:8">
      <c r="A138" t="s">
        <v>7</v>
      </c>
      <c r="C138" t="s">
        <v>454</v>
      </c>
      <c r="D138" t="s">
        <v>147</v>
      </c>
      <c r="E138" t="s">
        <v>143</v>
      </c>
      <c r="G138" s="6">
        <f>Sheet2!B333</f>
        <v>5.0702538490295401</v>
      </c>
      <c r="H138" s="6">
        <f>Sheet2!C333</f>
        <v>5.0649318695068404</v>
      </c>
    </row>
    <row r="139" spans="1:8">
      <c r="A139" t="s">
        <v>7</v>
      </c>
      <c r="C139" t="s">
        <v>454</v>
      </c>
      <c r="D139" t="s">
        <v>148</v>
      </c>
      <c r="E139" t="s">
        <v>143</v>
      </c>
      <c r="G139" s="6">
        <f>Sheet2!B334</f>
        <v>5.4023141860961896</v>
      </c>
      <c r="H139" s="6">
        <f>Sheet2!C334</f>
        <v>4.7538752555847203</v>
      </c>
    </row>
    <row r="140" spans="1:8">
      <c r="A140" t="s">
        <v>7</v>
      </c>
      <c r="C140" t="s">
        <v>454</v>
      </c>
      <c r="D140" t="s">
        <v>149</v>
      </c>
      <c r="E140" t="s">
        <v>143</v>
      </c>
      <c r="G140" s="6">
        <f>Sheet2!B335</f>
        <v>5.3173508644104004</v>
      </c>
      <c r="H140" s="6">
        <f>Sheet2!C335</f>
        <v>4.6542773246765101</v>
      </c>
    </row>
    <row r="141" spans="1:8">
      <c r="A141" t="s">
        <v>7</v>
      </c>
      <c r="C141" t="s">
        <v>454</v>
      </c>
      <c r="D141" t="s">
        <v>150</v>
      </c>
      <c r="E141" t="s">
        <v>143</v>
      </c>
      <c r="G141" s="6">
        <f>Sheet2!B336</f>
        <v>5.0488567352294904</v>
      </c>
      <c r="H141" s="6">
        <f>Sheet2!C336</f>
        <v>4.6872053146362296</v>
      </c>
    </row>
    <row r="142" spans="1:8">
      <c r="A142" t="s">
        <v>7</v>
      </c>
      <c r="C142" t="s">
        <v>454</v>
      </c>
      <c r="D142" t="s">
        <v>151</v>
      </c>
      <c r="E142" t="s">
        <v>143</v>
      </c>
      <c r="G142" s="6">
        <f>Sheet2!B337</f>
        <v>4.8092889785766602</v>
      </c>
      <c r="H142" s="6">
        <f>Sheet2!C337</f>
        <v>4.4315657615661603</v>
      </c>
    </row>
    <row r="143" spans="1:8">
      <c r="A143" t="s">
        <v>7</v>
      </c>
      <c r="C143" t="s">
        <v>454</v>
      </c>
      <c r="D143" t="s">
        <v>152</v>
      </c>
      <c r="E143" t="s">
        <v>143</v>
      </c>
      <c r="G143" s="6">
        <f>Sheet2!B338</f>
        <v>4.7758874893188503</v>
      </c>
      <c r="H143" s="6">
        <f>Sheet2!C338</f>
        <v>3.9263348579406698</v>
      </c>
    </row>
    <row r="144" spans="1:8">
      <c r="A144" t="s">
        <v>7</v>
      </c>
      <c r="C144" t="s">
        <v>454</v>
      </c>
      <c r="D144" t="s">
        <v>153</v>
      </c>
      <c r="E144" t="s">
        <v>154</v>
      </c>
      <c r="G144" s="3">
        <f>Sheet2!B347/SUM(Sheet2!B$348:B$356)</f>
        <v>9.2853269427219956E-2</v>
      </c>
      <c r="H144" s="3">
        <f>Sheet2!C347/SUM(Sheet2!C$348:C$356)</f>
        <v>6.5085364395675055E-2</v>
      </c>
    </row>
    <row r="145" spans="1:8">
      <c r="A145" t="s">
        <v>7</v>
      </c>
      <c r="C145" t="s">
        <v>454</v>
      </c>
      <c r="D145" t="s">
        <v>155</v>
      </c>
      <c r="E145" t="s">
        <v>154</v>
      </c>
      <c r="G145" s="3">
        <f>Sheet2!B348/SUM(Sheet2!B$348:B$356)</f>
        <v>6.5972191762443608E-2</v>
      </c>
      <c r="H145" s="3">
        <f>Sheet2!C348/SUM(Sheet2!C$348:C$356)</f>
        <v>5.0322169450403478E-2</v>
      </c>
    </row>
    <row r="146" spans="1:8">
      <c r="A146" t="s">
        <v>7</v>
      </c>
      <c r="C146" t="s">
        <v>454</v>
      </c>
      <c r="D146" t="s">
        <v>156</v>
      </c>
      <c r="E146" t="s">
        <v>154</v>
      </c>
      <c r="G146" s="3">
        <f>Sheet2!B349/SUM(Sheet2!B$348:B$356)</f>
        <v>7.0683462168472072E-2</v>
      </c>
      <c r="H146" s="3">
        <f>Sheet2!C349/SUM(Sheet2!C$348:C$356)</f>
        <v>5.8140782258858235E-2</v>
      </c>
    </row>
    <row r="147" spans="1:8">
      <c r="A147" t="s">
        <v>7</v>
      </c>
      <c r="C147" t="s">
        <v>454</v>
      </c>
      <c r="D147" t="s">
        <v>157</v>
      </c>
      <c r="E147" t="s">
        <v>154</v>
      </c>
      <c r="G147" s="3">
        <f>Sheet2!B350/SUM(Sheet2!B$348:B$356)</f>
        <v>7.2724759162969832E-2</v>
      </c>
      <c r="H147" s="3">
        <f>Sheet2!C350/SUM(Sheet2!C$348:C$356)</f>
        <v>6.7484797717404288E-2</v>
      </c>
    </row>
    <row r="148" spans="1:8">
      <c r="A148" t="s">
        <v>7</v>
      </c>
      <c r="C148" t="s">
        <v>454</v>
      </c>
      <c r="D148" t="s">
        <v>158</v>
      </c>
      <c r="E148" t="s">
        <v>154</v>
      </c>
      <c r="G148" s="3">
        <f>Sheet2!B351/SUM(Sheet2!B$348:B$356)</f>
        <v>8.7724846484727823E-2</v>
      </c>
      <c r="H148" s="3">
        <f>Sheet2!C351/SUM(Sheet2!C$348:C$356)</f>
        <v>7.5362944798987905E-2</v>
      </c>
    </row>
    <row r="149" spans="1:8">
      <c r="A149" t="s">
        <v>7</v>
      </c>
      <c r="C149" t="s">
        <v>454</v>
      </c>
      <c r="D149" t="s">
        <v>159</v>
      </c>
      <c r="E149" t="s">
        <v>154</v>
      </c>
      <c r="G149" s="3">
        <f>Sheet2!B352/SUM(Sheet2!B$348:B$356)</f>
        <v>8.8511486754737953E-2</v>
      </c>
      <c r="H149" s="3">
        <f>Sheet2!C352/SUM(Sheet2!C$348:C$356)</f>
        <v>8.3839914053693246E-2</v>
      </c>
    </row>
    <row r="150" spans="1:8">
      <c r="A150" t="s">
        <v>7</v>
      </c>
      <c r="C150" t="s">
        <v>454</v>
      </c>
      <c r="D150" t="s">
        <v>160</v>
      </c>
      <c r="E150" t="s">
        <v>154</v>
      </c>
      <c r="G150" s="3">
        <f>Sheet2!B353/SUM(Sheet2!B$348:B$356)</f>
        <v>0.10680438904104693</v>
      </c>
      <c r="H150" s="3">
        <f>Sheet2!C353/SUM(Sheet2!C$348:C$356)</f>
        <v>9.7006915058049481E-2</v>
      </c>
    </row>
    <row r="151" spans="1:8">
      <c r="A151" t="s">
        <v>7</v>
      </c>
      <c r="C151" t="s">
        <v>454</v>
      </c>
      <c r="D151" t="s">
        <v>161</v>
      </c>
      <c r="E151" t="s">
        <v>154</v>
      </c>
      <c r="G151" s="3">
        <f>Sheet2!B354/SUM(Sheet2!B$348:B$356)</f>
        <v>0.10558464089953161</v>
      </c>
      <c r="H151" s="3">
        <f>Sheet2!C354/SUM(Sheet2!C$348:C$356)</f>
        <v>0.1143470460267985</v>
      </c>
    </row>
    <row r="152" spans="1:8">
      <c r="A152" t="s">
        <v>7</v>
      </c>
      <c r="C152" t="s">
        <v>454</v>
      </c>
      <c r="D152" t="s">
        <v>162</v>
      </c>
      <c r="E152" t="s">
        <v>154</v>
      </c>
      <c r="G152" s="3">
        <f>Sheet2!B355/SUM(Sheet2!B$348:B$356)</f>
        <v>0.15387025322746448</v>
      </c>
      <c r="H152" s="3">
        <f>Sheet2!C355/SUM(Sheet2!C$348:C$356)</f>
        <v>0.14512324630694987</v>
      </c>
    </row>
    <row r="153" spans="1:8">
      <c r="A153" t="s">
        <v>7</v>
      </c>
      <c r="C153" t="s">
        <v>454</v>
      </c>
      <c r="D153" t="s">
        <v>163</v>
      </c>
      <c r="E153" t="s">
        <v>154</v>
      </c>
      <c r="G153" s="3">
        <f>Sheet2!B356/SUM(Sheet2!B$348:B$356)</f>
        <v>0.2481239704986056</v>
      </c>
      <c r="H153" s="3">
        <f>Sheet2!C356/SUM(Sheet2!C$348:C$356)</f>
        <v>0.30837218432885494</v>
      </c>
    </row>
    <row r="154" spans="1:8">
      <c r="A154" t="s">
        <v>7</v>
      </c>
      <c r="C154" t="s">
        <v>454</v>
      </c>
      <c r="D154" t="s">
        <v>164</v>
      </c>
      <c r="E154" t="s">
        <v>165</v>
      </c>
      <c r="G154" s="3">
        <f>Sheet2!B365/SUM(Sheet2!B$365:B$374)</f>
        <v>2.8105436812144464E-3</v>
      </c>
      <c r="H154" s="3">
        <f>Sheet2!C365/SUM(Sheet2!C$365:C$374)</f>
        <v>4.117752603041475E-3</v>
      </c>
    </row>
    <row r="155" spans="1:8">
      <c r="A155" t="s">
        <v>7</v>
      </c>
      <c r="C155" t="s">
        <v>454</v>
      </c>
      <c r="D155" t="s">
        <v>166</v>
      </c>
      <c r="E155" t="s">
        <v>165</v>
      </c>
      <c r="G155" s="3">
        <f>Sheet2!B366/SUM(Sheet2!B$365:B$374)</f>
        <v>1.6232323021022319E-2</v>
      </c>
      <c r="H155" s="3">
        <f>Sheet2!C366/SUM(Sheet2!C$365:C$374)</f>
        <v>1.6608514723161768E-2</v>
      </c>
    </row>
    <row r="156" spans="1:8">
      <c r="A156" t="s">
        <v>7</v>
      </c>
      <c r="C156" t="s">
        <v>454</v>
      </c>
      <c r="D156" t="s">
        <v>167</v>
      </c>
      <c r="E156" t="s">
        <v>165</v>
      </c>
      <c r="G156" s="3">
        <f>Sheet2!B367/SUM(Sheet2!B$365:B$374)</f>
        <v>2.5602734351692219E-2</v>
      </c>
      <c r="H156" s="3">
        <f>Sheet2!C367/SUM(Sheet2!C$365:C$374)</f>
        <v>2.6974142675193071E-2</v>
      </c>
    </row>
    <row r="157" spans="1:8">
      <c r="A157" t="s">
        <v>7</v>
      </c>
      <c r="C157" t="s">
        <v>454</v>
      </c>
      <c r="D157" t="s">
        <v>168</v>
      </c>
      <c r="E157" t="s">
        <v>165</v>
      </c>
      <c r="G157" s="3">
        <f>Sheet2!B368/SUM(Sheet2!B$365:B$374)</f>
        <v>3.4560389851316847E-2</v>
      </c>
      <c r="H157" s="3">
        <f>Sheet2!C368/SUM(Sheet2!C$365:C$374)</f>
        <v>3.5946440487612787E-2</v>
      </c>
    </row>
    <row r="158" spans="1:8">
      <c r="A158" t="s">
        <v>7</v>
      </c>
      <c r="C158" t="s">
        <v>454</v>
      </c>
      <c r="D158" t="s">
        <v>169</v>
      </c>
      <c r="E158" t="s">
        <v>165</v>
      </c>
      <c r="G158" s="3">
        <f>Sheet2!B369/SUM(Sheet2!B$365:B$374)</f>
        <v>4.7093563622407755E-2</v>
      </c>
      <c r="H158" s="3">
        <f>Sheet2!C369/SUM(Sheet2!C$365:C$374)</f>
        <v>4.7896627397197952E-2</v>
      </c>
    </row>
    <row r="159" spans="1:8">
      <c r="A159" t="s">
        <v>7</v>
      </c>
      <c r="C159" t="s">
        <v>454</v>
      </c>
      <c r="D159" t="s">
        <v>170</v>
      </c>
      <c r="E159" t="s">
        <v>165</v>
      </c>
      <c r="G159" s="3">
        <f>Sheet2!B370/SUM(Sheet2!B$365:B$374)</f>
        <v>5.8477511882805297E-2</v>
      </c>
      <c r="H159" s="3">
        <f>Sheet2!C370/SUM(Sheet2!C$365:C$374)</f>
        <v>6.1944537831634228E-2</v>
      </c>
    </row>
    <row r="160" spans="1:8">
      <c r="A160" t="s">
        <v>7</v>
      </c>
      <c r="C160" t="s">
        <v>454</v>
      </c>
      <c r="D160" t="s">
        <v>171</v>
      </c>
      <c r="E160" t="s">
        <v>165</v>
      </c>
      <c r="G160" s="3">
        <f>Sheet2!B371/SUM(Sheet2!B$365:B$374)</f>
        <v>7.6633654779221655E-2</v>
      </c>
      <c r="H160" s="3">
        <f>Sheet2!C371/SUM(Sheet2!C$365:C$374)</f>
        <v>8.1057712242527738E-2</v>
      </c>
    </row>
    <row r="161" spans="1:8">
      <c r="A161" t="s">
        <v>7</v>
      </c>
      <c r="C161" t="s">
        <v>454</v>
      </c>
      <c r="D161" t="s">
        <v>172</v>
      </c>
      <c r="E161" t="s">
        <v>165</v>
      </c>
      <c r="G161" s="3">
        <f>Sheet2!B372/SUM(Sheet2!B$365:B$374)</f>
        <v>0.10302004211655391</v>
      </c>
      <c r="H161" s="3">
        <f>Sheet2!C372/SUM(Sheet2!C$365:C$374)</f>
        <v>0.10838737954016252</v>
      </c>
    </row>
    <row r="162" spans="1:8">
      <c r="A162" t="s">
        <v>7</v>
      </c>
      <c r="C162" t="s">
        <v>454</v>
      </c>
      <c r="D162" t="s">
        <v>173</v>
      </c>
      <c r="E162" t="s">
        <v>165</v>
      </c>
      <c r="G162" s="3">
        <f>Sheet2!B373/SUM(Sheet2!B$365:B$374)</f>
        <v>0.15494821747140566</v>
      </c>
      <c r="H162" s="3">
        <f>Sheet2!C373/SUM(Sheet2!C$365:C$374)</f>
        <v>0.16598601693665521</v>
      </c>
    </row>
    <row r="163" spans="1:8">
      <c r="A163" t="s">
        <v>7</v>
      </c>
      <c r="C163" t="s">
        <v>454</v>
      </c>
      <c r="D163" t="s">
        <v>174</v>
      </c>
      <c r="E163" t="s">
        <v>165</v>
      </c>
      <c r="G163" s="3">
        <f>Sheet2!B374/SUM(Sheet2!B$365:B$374)</f>
        <v>0.48062101922235989</v>
      </c>
      <c r="H163" s="3">
        <f>Sheet2!C374/SUM(Sheet2!C$365:C$374)</f>
        <v>0.45108087556281312</v>
      </c>
    </row>
    <row r="164" spans="1:8">
      <c r="A164" t="s">
        <v>7</v>
      </c>
      <c r="C164" t="s">
        <v>454</v>
      </c>
      <c r="D164" t="s">
        <v>175</v>
      </c>
      <c r="E164" t="s">
        <v>143</v>
      </c>
      <c r="G164" s="6">
        <f>Sheet2!B382</f>
        <v>2.67354</v>
      </c>
      <c r="H164" s="6">
        <f>Sheet2!C382</f>
        <v>2.5219870000000002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"/>
  <sheetViews>
    <sheetView topLeftCell="A226" zoomScale="48" workbookViewId="0">
      <selection activeCell="A374" sqref="A374:XFD374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7" t="s">
        <v>180</v>
      </c>
      <c r="S2" t="s">
        <v>415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0.40815760000000001</v>
      </c>
      <c r="C8">
        <f>T8</f>
        <v>0.48772090000000001</v>
      </c>
      <c r="H8" t="s">
        <v>230</v>
      </c>
      <c r="R8" s="7" t="s">
        <v>194</v>
      </c>
      <c r="S8">
        <v>0.40815760000000001</v>
      </c>
      <c r="T8">
        <v>0.48772090000000001</v>
      </c>
    </row>
    <row r="9" spans="1:25" ht="16">
      <c r="A9" t="s">
        <v>195</v>
      </c>
      <c r="B9">
        <f t="shared" ref="B9:B36" si="0">S9</f>
        <v>0.45340520000000001</v>
      </c>
      <c r="C9">
        <f t="shared" ref="C9:C36" si="1">T9</f>
        <v>0.55913100000000004</v>
      </c>
      <c r="H9" t="s">
        <v>231</v>
      </c>
      <c r="R9" s="7" t="s">
        <v>195</v>
      </c>
      <c r="S9">
        <v>0.45340520000000001</v>
      </c>
      <c r="T9">
        <v>0.55913100000000004</v>
      </c>
    </row>
    <row r="10" spans="1:25" ht="16">
      <c r="A10" t="s">
        <v>196</v>
      </c>
      <c r="B10">
        <f t="shared" si="0"/>
        <v>0.44375150000000002</v>
      </c>
      <c r="C10">
        <f t="shared" si="1"/>
        <v>0.57726460000000002</v>
      </c>
      <c r="H10" t="s">
        <v>232</v>
      </c>
      <c r="R10" s="7" t="s">
        <v>196</v>
      </c>
      <c r="S10">
        <v>0.44375150000000002</v>
      </c>
      <c r="T10">
        <v>0.57726460000000002</v>
      </c>
    </row>
    <row r="11" spans="1:25" ht="16">
      <c r="A11" t="s">
        <v>197</v>
      </c>
      <c r="B11">
        <f t="shared" si="0"/>
        <v>0.45731739999999999</v>
      </c>
      <c r="C11">
        <f t="shared" si="1"/>
        <v>0.56092750000000002</v>
      </c>
      <c r="H11" t="s">
        <v>233</v>
      </c>
      <c r="R11" s="7" t="s">
        <v>197</v>
      </c>
      <c r="S11">
        <v>0.45731739999999999</v>
      </c>
      <c r="T11">
        <v>0.56092750000000002</v>
      </c>
    </row>
    <row r="12" spans="1:25" ht="16">
      <c r="A12" t="s">
        <v>198</v>
      </c>
      <c r="B12">
        <f t="shared" si="0"/>
        <v>0.40505619999999998</v>
      </c>
      <c r="C12">
        <f t="shared" si="1"/>
        <v>0.5619923</v>
      </c>
      <c r="H12" t="s">
        <v>234</v>
      </c>
      <c r="R12" s="7" t="s">
        <v>198</v>
      </c>
      <c r="S12">
        <v>0.40505619999999998</v>
      </c>
      <c r="T12">
        <v>0.5619923</v>
      </c>
    </row>
    <row r="13" spans="1:25" ht="16">
      <c r="A13" t="s">
        <v>199</v>
      </c>
      <c r="B13">
        <f t="shared" si="0"/>
        <v>0.39475070000000001</v>
      </c>
      <c r="C13">
        <f t="shared" si="1"/>
        <v>0.56998530000000003</v>
      </c>
      <c r="H13" t="s">
        <v>235</v>
      </c>
      <c r="R13" s="7" t="s">
        <v>199</v>
      </c>
      <c r="S13">
        <v>0.39475070000000001</v>
      </c>
      <c r="T13">
        <v>0.56998530000000003</v>
      </c>
    </row>
    <row r="14" spans="1:25" ht="16">
      <c r="A14" t="s">
        <v>200</v>
      </c>
      <c r="B14">
        <f t="shared" si="0"/>
        <v>0.3559351</v>
      </c>
      <c r="C14">
        <f t="shared" si="1"/>
        <v>0.55181369999999996</v>
      </c>
      <c r="H14" t="s">
        <v>236</v>
      </c>
      <c r="R14" s="7" t="s">
        <v>200</v>
      </c>
      <c r="S14">
        <v>0.3559351</v>
      </c>
      <c r="T14">
        <v>0.55181369999999996</v>
      </c>
    </row>
    <row r="15" spans="1:25" ht="16">
      <c r="A15" t="s">
        <v>201</v>
      </c>
      <c r="B15">
        <f t="shared" si="0"/>
        <v>0.34151670000000001</v>
      </c>
      <c r="C15">
        <f t="shared" si="1"/>
        <v>0.53353070000000002</v>
      </c>
      <c r="H15" t="s">
        <v>237</v>
      </c>
      <c r="R15" s="7" t="s">
        <v>201</v>
      </c>
      <c r="S15">
        <v>0.34151670000000001</v>
      </c>
      <c r="T15">
        <v>0.53353070000000002</v>
      </c>
    </row>
    <row r="16" spans="1:25" ht="16">
      <c r="A16" t="s">
        <v>202</v>
      </c>
      <c r="B16">
        <f t="shared" si="0"/>
        <v>0.32200839999999997</v>
      </c>
      <c r="C16">
        <f t="shared" si="1"/>
        <v>0.5019074</v>
      </c>
      <c r="H16" t="s">
        <v>238</v>
      </c>
      <c r="R16" s="7" t="s">
        <v>202</v>
      </c>
      <c r="S16">
        <v>0.32200839999999997</v>
      </c>
      <c r="T16">
        <v>0.5019074</v>
      </c>
    </row>
    <row r="17" spans="1:21" ht="16">
      <c r="A17" t="s">
        <v>203</v>
      </c>
      <c r="B17">
        <f t="shared" si="0"/>
        <v>0.26272139999999999</v>
      </c>
      <c r="C17">
        <f t="shared" si="1"/>
        <v>0.55974610000000002</v>
      </c>
      <c r="H17" t="s">
        <v>239</v>
      </c>
      <c r="R17" s="7" t="s">
        <v>203</v>
      </c>
      <c r="S17">
        <v>0.26272139999999999</v>
      </c>
      <c r="T17">
        <v>0.55974610000000002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7" t="s">
        <v>180</v>
      </c>
      <c r="S20" t="s">
        <v>415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8.3715700000000004E-2</v>
      </c>
      <c r="C26">
        <f t="shared" si="1"/>
        <v>8.3269300000000004E-2</v>
      </c>
      <c r="H26" t="s">
        <v>241</v>
      </c>
      <c r="R26" s="7" t="s">
        <v>194</v>
      </c>
      <c r="S26">
        <v>8.3715700000000004E-2</v>
      </c>
      <c r="T26">
        <v>8.3269300000000004E-2</v>
      </c>
    </row>
    <row r="27" spans="1:21" ht="16">
      <c r="A27" t="s">
        <v>195</v>
      </c>
      <c r="B27">
        <f t="shared" si="0"/>
        <v>8.2374900000000001E-2</v>
      </c>
      <c r="C27">
        <f t="shared" si="1"/>
        <v>7.3723399999999994E-2</v>
      </c>
      <c r="H27" t="s">
        <v>242</v>
      </c>
      <c r="R27" s="7" t="s">
        <v>195</v>
      </c>
      <c r="S27">
        <v>8.2374900000000001E-2</v>
      </c>
      <c r="T27">
        <v>7.3723399999999994E-2</v>
      </c>
    </row>
    <row r="28" spans="1:21" ht="16">
      <c r="A28" t="s">
        <v>196</v>
      </c>
      <c r="B28">
        <f t="shared" si="0"/>
        <v>9.6441399999999997E-2</v>
      </c>
      <c r="C28">
        <f t="shared" si="1"/>
        <v>8.7790699999999999E-2</v>
      </c>
      <c r="H28" t="s">
        <v>243</v>
      </c>
      <c r="R28" s="7" t="s">
        <v>196</v>
      </c>
      <c r="S28">
        <v>9.6441399999999997E-2</v>
      </c>
      <c r="T28">
        <v>8.7790699999999999E-2</v>
      </c>
    </row>
    <row r="29" spans="1:21" ht="16">
      <c r="A29" t="s">
        <v>197</v>
      </c>
      <c r="B29">
        <f t="shared" si="0"/>
        <v>9.4703700000000002E-2</v>
      </c>
      <c r="C29">
        <f t="shared" si="1"/>
        <v>8.8403999999999996E-2</v>
      </c>
      <c r="H29" t="s">
        <v>244</v>
      </c>
      <c r="R29" s="7" t="s">
        <v>197</v>
      </c>
      <c r="S29">
        <v>9.4703700000000002E-2</v>
      </c>
      <c r="T29">
        <v>8.8403999999999996E-2</v>
      </c>
    </row>
    <row r="30" spans="1:21" ht="16">
      <c r="A30" t="s">
        <v>198</v>
      </c>
      <c r="B30">
        <f t="shared" si="0"/>
        <v>0.1185736</v>
      </c>
      <c r="C30">
        <f t="shared" si="1"/>
        <v>9.8062300000000005E-2</v>
      </c>
      <c r="H30" t="s">
        <v>245</v>
      </c>
      <c r="R30" s="7" t="s">
        <v>198</v>
      </c>
      <c r="S30">
        <v>0.1185736</v>
      </c>
      <c r="T30">
        <v>9.8062300000000005E-2</v>
      </c>
    </row>
    <row r="31" spans="1:21" ht="16">
      <c r="A31" t="s">
        <v>199</v>
      </c>
      <c r="B31">
        <f t="shared" si="0"/>
        <v>0.1129019</v>
      </c>
      <c r="C31">
        <f t="shared" si="1"/>
        <v>9.5905400000000002E-2</v>
      </c>
      <c r="H31" t="s">
        <v>246</v>
      </c>
      <c r="R31" s="7" t="s">
        <v>199</v>
      </c>
      <c r="S31">
        <v>0.1129019</v>
      </c>
      <c r="T31">
        <v>9.5905400000000002E-2</v>
      </c>
    </row>
    <row r="32" spans="1:21" ht="16">
      <c r="A32" t="s">
        <v>200</v>
      </c>
      <c r="B32">
        <f t="shared" si="0"/>
        <v>0.1234113</v>
      </c>
      <c r="C32">
        <f t="shared" si="1"/>
        <v>0.10482669999999999</v>
      </c>
      <c r="H32" t="s">
        <v>247</v>
      </c>
      <c r="R32" s="7" t="s">
        <v>200</v>
      </c>
      <c r="S32">
        <v>0.1234113</v>
      </c>
      <c r="T32">
        <v>0.10482669999999999</v>
      </c>
    </row>
    <row r="33" spans="1:21" ht="16">
      <c r="A33" t="s">
        <v>201</v>
      </c>
      <c r="B33">
        <f t="shared" si="0"/>
        <v>0.13647039999999999</v>
      </c>
      <c r="C33">
        <f t="shared" si="1"/>
        <v>0.12213060000000001</v>
      </c>
      <c r="H33" t="s">
        <v>248</v>
      </c>
      <c r="R33" s="7" t="s">
        <v>201</v>
      </c>
      <c r="S33">
        <v>0.13647039999999999</v>
      </c>
      <c r="T33">
        <v>0.12213060000000001</v>
      </c>
    </row>
    <row r="34" spans="1:21" ht="16">
      <c r="A34" t="s">
        <v>202</v>
      </c>
      <c r="B34">
        <f t="shared" si="0"/>
        <v>0.1516615</v>
      </c>
      <c r="C34">
        <f t="shared" si="1"/>
        <v>0.13245979999999999</v>
      </c>
      <c r="H34" t="s">
        <v>249</v>
      </c>
      <c r="R34" s="7" t="s">
        <v>202</v>
      </c>
      <c r="S34">
        <v>0.1516615</v>
      </c>
      <c r="T34">
        <v>0.13245979999999999</v>
      </c>
    </row>
    <row r="35" spans="1:21" ht="16">
      <c r="A35" t="s">
        <v>203</v>
      </c>
      <c r="B35">
        <f t="shared" si="0"/>
        <v>0.16902529999999999</v>
      </c>
      <c r="C35">
        <f t="shared" si="1"/>
        <v>0.11206439999999999</v>
      </c>
      <c r="H35" t="s">
        <v>250</v>
      </c>
      <c r="R35" s="7" t="s">
        <v>203</v>
      </c>
      <c r="S35">
        <v>0.16902529999999999</v>
      </c>
      <c r="T35">
        <v>0.11206439999999999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7" t="s">
        <v>180</v>
      </c>
      <c r="S38" t="s">
        <v>415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0.10957359999999999</v>
      </c>
      <c r="C44">
        <f t="shared" si="3"/>
        <v>4.4798900000000003E-2</v>
      </c>
      <c r="H44" t="s">
        <v>252</v>
      </c>
      <c r="R44" s="7" t="s">
        <v>194</v>
      </c>
      <c r="S44">
        <v>0.10957359999999999</v>
      </c>
      <c r="T44">
        <v>4.4798900000000003E-2</v>
      </c>
    </row>
    <row r="45" spans="1:21" ht="16">
      <c r="A45" t="s">
        <v>195</v>
      </c>
      <c r="B45">
        <f t="shared" si="2"/>
        <v>7.5192899999999993E-2</v>
      </c>
      <c r="C45">
        <f t="shared" si="3"/>
        <v>3.7196300000000002E-2</v>
      </c>
      <c r="H45" t="s">
        <v>253</v>
      </c>
      <c r="R45" s="7" t="s">
        <v>195</v>
      </c>
      <c r="S45">
        <v>7.5192899999999993E-2</v>
      </c>
      <c r="T45">
        <v>3.7196300000000002E-2</v>
      </c>
    </row>
    <row r="46" spans="1:21" ht="16">
      <c r="A46" t="s">
        <v>196</v>
      </c>
      <c r="B46">
        <f t="shared" si="2"/>
        <v>8.2150200000000007E-2</v>
      </c>
      <c r="C46">
        <f t="shared" si="3"/>
        <v>3.0538200000000001E-2</v>
      </c>
      <c r="H46" t="s">
        <v>254</v>
      </c>
      <c r="R46" s="7" t="s">
        <v>196</v>
      </c>
      <c r="S46">
        <v>8.2150200000000007E-2</v>
      </c>
      <c r="T46">
        <v>3.0538200000000001E-2</v>
      </c>
    </row>
    <row r="47" spans="1:21" ht="16">
      <c r="A47" t="s">
        <v>197</v>
      </c>
      <c r="B47">
        <f t="shared" si="2"/>
        <v>8.2559099999999996E-2</v>
      </c>
      <c r="C47">
        <f t="shared" si="3"/>
        <v>3.4614499999999999E-2</v>
      </c>
      <c r="H47" t="s">
        <v>255</v>
      </c>
      <c r="R47" s="7" t="s">
        <v>197</v>
      </c>
      <c r="S47">
        <v>8.2559099999999996E-2</v>
      </c>
      <c r="T47">
        <v>3.4614499999999999E-2</v>
      </c>
    </row>
    <row r="48" spans="1:21" ht="16">
      <c r="A48" t="s">
        <v>198</v>
      </c>
      <c r="B48">
        <f t="shared" si="2"/>
        <v>8.1032999999999994E-2</v>
      </c>
      <c r="C48">
        <f t="shared" si="3"/>
        <v>3.1299599999999997E-2</v>
      </c>
      <c r="H48" t="s">
        <v>256</v>
      </c>
      <c r="R48" s="7" t="s">
        <v>198</v>
      </c>
      <c r="S48">
        <v>8.1032999999999994E-2</v>
      </c>
      <c r="T48">
        <v>3.1299599999999997E-2</v>
      </c>
    </row>
    <row r="49" spans="1:21" ht="16">
      <c r="A49" t="s">
        <v>199</v>
      </c>
      <c r="B49">
        <f t="shared" si="2"/>
        <v>7.4347200000000002E-2</v>
      </c>
      <c r="C49">
        <f t="shared" si="3"/>
        <v>3.4357699999999998E-2</v>
      </c>
      <c r="H49" t="s">
        <v>257</v>
      </c>
      <c r="R49" s="7" t="s">
        <v>199</v>
      </c>
      <c r="S49">
        <v>7.4347200000000002E-2</v>
      </c>
      <c r="T49">
        <v>3.4357699999999998E-2</v>
      </c>
    </row>
    <row r="50" spans="1:21" ht="16">
      <c r="A50" t="s">
        <v>200</v>
      </c>
      <c r="B50">
        <f t="shared" si="2"/>
        <v>8.0439200000000002E-2</v>
      </c>
      <c r="C50">
        <f t="shared" si="3"/>
        <v>2.9227400000000001E-2</v>
      </c>
      <c r="H50" t="s">
        <v>258</v>
      </c>
      <c r="R50" s="7" t="s">
        <v>200</v>
      </c>
      <c r="S50">
        <v>8.0439200000000002E-2</v>
      </c>
      <c r="T50">
        <v>2.9227400000000001E-2</v>
      </c>
    </row>
    <row r="51" spans="1:21" ht="16">
      <c r="A51" t="s">
        <v>201</v>
      </c>
      <c r="B51">
        <f t="shared" si="2"/>
        <v>8.1673800000000005E-2</v>
      </c>
      <c r="C51">
        <f t="shared" si="3"/>
        <v>3.0351699999999999E-2</v>
      </c>
      <c r="H51" t="s">
        <v>259</v>
      </c>
      <c r="R51" s="7" t="s">
        <v>201</v>
      </c>
      <c r="S51">
        <v>8.1673800000000005E-2</v>
      </c>
      <c r="T51">
        <v>3.0351699999999999E-2</v>
      </c>
    </row>
    <row r="52" spans="1:21" ht="16">
      <c r="A52" t="s">
        <v>202</v>
      </c>
      <c r="B52">
        <f t="shared" si="2"/>
        <v>7.7735600000000002E-2</v>
      </c>
      <c r="C52">
        <f t="shared" si="3"/>
        <v>3.1440900000000001E-2</v>
      </c>
      <c r="H52" t="s">
        <v>260</v>
      </c>
      <c r="R52" s="7" t="s">
        <v>202</v>
      </c>
      <c r="S52">
        <v>7.7735600000000002E-2</v>
      </c>
      <c r="T52">
        <v>3.1440900000000001E-2</v>
      </c>
    </row>
    <row r="53" spans="1:21" ht="16">
      <c r="A53" t="s">
        <v>203</v>
      </c>
      <c r="B53">
        <f t="shared" si="2"/>
        <v>7.3695200000000002E-2</v>
      </c>
      <c r="C53">
        <f t="shared" si="3"/>
        <v>2.9697600000000001E-2</v>
      </c>
      <c r="H53" t="s">
        <v>261</v>
      </c>
      <c r="R53" s="7" t="s">
        <v>203</v>
      </c>
      <c r="S53">
        <v>7.3695200000000002E-2</v>
      </c>
      <c r="T53">
        <v>2.9697600000000001E-2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7" t="s">
        <v>180</v>
      </c>
      <c r="S56" t="s">
        <v>415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0.39855309999999999</v>
      </c>
      <c r="C62">
        <f t="shared" si="3"/>
        <v>0.38421090000000002</v>
      </c>
      <c r="H62" t="s">
        <v>263</v>
      </c>
      <c r="R62" s="7" t="s">
        <v>194</v>
      </c>
      <c r="S62">
        <v>0.39855309999999999</v>
      </c>
      <c r="T62">
        <v>0.38421090000000002</v>
      </c>
    </row>
    <row r="63" spans="1:21" ht="16">
      <c r="A63" t="s">
        <v>195</v>
      </c>
      <c r="B63">
        <f t="shared" si="2"/>
        <v>0.38902700000000001</v>
      </c>
      <c r="C63">
        <f t="shared" si="3"/>
        <v>0.3299492</v>
      </c>
      <c r="H63" t="s">
        <v>264</v>
      </c>
      <c r="R63" s="7" t="s">
        <v>195</v>
      </c>
      <c r="S63">
        <v>0.38902700000000001</v>
      </c>
      <c r="T63">
        <v>0.3299492</v>
      </c>
    </row>
    <row r="64" spans="1:21" ht="16">
      <c r="A64" t="s">
        <v>196</v>
      </c>
      <c r="B64">
        <f t="shared" si="2"/>
        <v>0.37765690000000002</v>
      </c>
      <c r="C64">
        <f t="shared" si="3"/>
        <v>0.30440650000000002</v>
      </c>
      <c r="H64" t="s">
        <v>265</v>
      </c>
      <c r="R64" s="7" t="s">
        <v>196</v>
      </c>
      <c r="S64">
        <v>0.37765690000000002</v>
      </c>
      <c r="T64">
        <v>0.30440650000000002</v>
      </c>
    </row>
    <row r="65" spans="1:21" ht="16">
      <c r="A65" t="s">
        <v>197</v>
      </c>
      <c r="B65">
        <f t="shared" si="2"/>
        <v>0.36541980000000002</v>
      </c>
      <c r="C65">
        <f t="shared" si="3"/>
        <v>0.316054</v>
      </c>
      <c r="H65" t="s">
        <v>266</v>
      </c>
      <c r="R65" s="7" t="s">
        <v>197</v>
      </c>
      <c r="S65">
        <v>0.36541980000000002</v>
      </c>
      <c r="T65">
        <v>0.316054</v>
      </c>
    </row>
    <row r="66" spans="1:21" ht="16">
      <c r="A66" t="s">
        <v>198</v>
      </c>
      <c r="B66">
        <f t="shared" si="2"/>
        <v>0.3953372</v>
      </c>
      <c r="C66">
        <f t="shared" si="3"/>
        <v>0.30864580000000003</v>
      </c>
      <c r="H66" t="s">
        <v>267</v>
      </c>
      <c r="R66" s="7" t="s">
        <v>198</v>
      </c>
      <c r="S66">
        <v>0.3953372</v>
      </c>
      <c r="T66">
        <v>0.30864580000000003</v>
      </c>
    </row>
    <row r="67" spans="1:21" ht="16">
      <c r="A67" t="s">
        <v>199</v>
      </c>
      <c r="B67">
        <f t="shared" si="2"/>
        <v>0.41800009999999999</v>
      </c>
      <c r="C67">
        <f t="shared" si="3"/>
        <v>0.2997515</v>
      </c>
      <c r="H67" t="s">
        <v>268</v>
      </c>
      <c r="R67" s="7" t="s">
        <v>199</v>
      </c>
      <c r="S67">
        <v>0.41800009999999999</v>
      </c>
      <c r="T67">
        <v>0.2997515</v>
      </c>
    </row>
    <row r="68" spans="1:21" ht="16">
      <c r="A68" t="s">
        <v>200</v>
      </c>
      <c r="B68">
        <f t="shared" si="2"/>
        <v>0.44021440000000001</v>
      </c>
      <c r="C68">
        <f t="shared" si="3"/>
        <v>0.31413219999999997</v>
      </c>
      <c r="H68" t="s">
        <v>269</v>
      </c>
      <c r="R68" s="7" t="s">
        <v>200</v>
      </c>
      <c r="S68">
        <v>0.44021440000000001</v>
      </c>
      <c r="T68">
        <v>0.31413219999999997</v>
      </c>
    </row>
    <row r="69" spans="1:21" ht="16">
      <c r="A69" t="s">
        <v>201</v>
      </c>
      <c r="B69">
        <f t="shared" si="2"/>
        <v>0.44033909999999998</v>
      </c>
      <c r="C69">
        <f t="shared" si="3"/>
        <v>0.31398700000000002</v>
      </c>
      <c r="H69" t="s">
        <v>270</v>
      </c>
      <c r="R69" s="7" t="s">
        <v>201</v>
      </c>
      <c r="S69">
        <v>0.44033909999999998</v>
      </c>
      <c r="T69">
        <v>0.31398700000000002</v>
      </c>
    </row>
    <row r="70" spans="1:21" ht="16">
      <c r="A70" t="s">
        <v>202</v>
      </c>
      <c r="B70">
        <f t="shared" si="2"/>
        <v>0.44859450000000001</v>
      </c>
      <c r="C70">
        <f t="shared" si="3"/>
        <v>0.33419199999999999</v>
      </c>
      <c r="H70" t="s">
        <v>271</v>
      </c>
      <c r="R70" s="7" t="s">
        <v>202</v>
      </c>
      <c r="S70">
        <v>0.44859450000000001</v>
      </c>
      <c r="T70">
        <v>0.33419199999999999</v>
      </c>
    </row>
    <row r="71" spans="1:21" ht="16">
      <c r="A71" t="s">
        <v>203</v>
      </c>
      <c r="B71">
        <f t="shared" si="2"/>
        <v>0.4945581</v>
      </c>
      <c r="C71">
        <f t="shared" si="3"/>
        <v>0.29849199999999998</v>
      </c>
      <c r="H71" t="s">
        <v>272</v>
      </c>
      <c r="R71" s="7" t="s">
        <v>203</v>
      </c>
      <c r="S71">
        <v>0.4945581</v>
      </c>
      <c r="T71">
        <v>0.29849199999999998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416</v>
      </c>
      <c r="S74" t="s">
        <v>177</v>
      </c>
      <c r="T74" t="s">
        <v>178</v>
      </c>
      <c r="U74" t="s">
        <v>417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7" t="s">
        <v>180</v>
      </c>
      <c r="S75" t="s">
        <v>415</v>
      </c>
      <c r="T75" t="s">
        <v>418</v>
      </c>
      <c r="U75" t="s">
        <v>419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7" t="s">
        <v>195</v>
      </c>
      <c r="S82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7" t="s">
        <v>196</v>
      </c>
      <c r="S83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7" t="s">
        <v>197</v>
      </c>
      <c r="S84">
        <v>0</v>
      </c>
      <c r="T84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7" t="s">
        <v>198</v>
      </c>
      <c r="S85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7" t="s">
        <v>199</v>
      </c>
      <c r="S86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7" t="s">
        <v>200</v>
      </c>
      <c r="S87">
        <v>0</v>
      </c>
      <c r="T87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7" t="s">
        <v>201</v>
      </c>
      <c r="S88">
        <v>0</v>
      </c>
      <c r="T88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7" t="s">
        <v>202</v>
      </c>
      <c r="S89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7" t="s">
        <v>203</v>
      </c>
      <c r="S90">
        <v>0</v>
      </c>
      <c r="T90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415</v>
      </c>
      <c r="T93" t="s">
        <v>420</v>
      </c>
      <c r="U93" t="s">
        <v>421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0.24177270000000001</v>
      </c>
      <c r="C99">
        <f t="shared" si="5"/>
        <v>0.14232890000000001</v>
      </c>
      <c r="H99" t="s">
        <v>286</v>
      </c>
      <c r="R99" s="7" t="s">
        <v>194</v>
      </c>
      <c r="S99">
        <v>0.24177270000000001</v>
      </c>
      <c r="T99">
        <v>0.14232890000000001</v>
      </c>
    </row>
    <row r="100" spans="1:21" ht="16">
      <c r="A100" t="s">
        <v>195</v>
      </c>
      <c r="B100">
        <f t="shared" si="4"/>
        <v>0.2113054</v>
      </c>
      <c r="C100">
        <f t="shared" si="5"/>
        <v>0.1039931</v>
      </c>
      <c r="H100" t="s">
        <v>287</v>
      </c>
      <c r="R100" s="7" t="s">
        <v>195</v>
      </c>
      <c r="S100">
        <v>0.2113054</v>
      </c>
      <c r="T100">
        <v>0.1039931</v>
      </c>
    </row>
    <row r="101" spans="1:21" ht="16">
      <c r="A101" t="s">
        <v>196</v>
      </c>
      <c r="B101">
        <f t="shared" si="4"/>
        <v>0.21008450000000001</v>
      </c>
      <c r="C101">
        <f t="shared" si="5"/>
        <v>9.0537900000000004E-2</v>
      </c>
      <c r="H101" t="s">
        <v>288</v>
      </c>
      <c r="R101" s="7" t="s">
        <v>196</v>
      </c>
      <c r="S101">
        <v>0.21008450000000001</v>
      </c>
      <c r="T101">
        <v>9.0537900000000004E-2</v>
      </c>
    </row>
    <row r="102" spans="1:21" ht="16">
      <c r="A102" t="s">
        <v>197</v>
      </c>
      <c r="B102">
        <f t="shared" si="4"/>
        <v>0.16930319999999999</v>
      </c>
      <c r="C102">
        <f t="shared" si="5"/>
        <v>8.9613399999999996E-2</v>
      </c>
      <c r="H102" t="s">
        <v>289</v>
      </c>
      <c r="R102" s="7" t="s">
        <v>197</v>
      </c>
      <c r="S102">
        <v>0.16930319999999999</v>
      </c>
      <c r="T102">
        <v>8.9613399999999996E-2</v>
      </c>
    </row>
    <row r="103" spans="1:21" ht="16">
      <c r="A103" t="s">
        <v>198</v>
      </c>
      <c r="B103">
        <f t="shared" si="4"/>
        <v>0.1444616</v>
      </c>
      <c r="C103">
        <f t="shared" si="5"/>
        <v>9.2274599999999998E-2</v>
      </c>
      <c r="H103" t="s">
        <v>290</v>
      </c>
      <c r="R103" s="7" t="s">
        <v>198</v>
      </c>
      <c r="S103">
        <v>0.1444616</v>
      </c>
      <c r="T103">
        <v>9.2274599999999998E-2</v>
      </c>
    </row>
    <row r="104" spans="1:21" ht="16">
      <c r="A104" t="s">
        <v>199</v>
      </c>
      <c r="B104">
        <f t="shared" si="4"/>
        <v>0.15874450000000001</v>
      </c>
      <c r="C104">
        <f t="shared" si="5"/>
        <v>8.8337299999999994E-2</v>
      </c>
      <c r="H104" t="s">
        <v>291</v>
      </c>
      <c r="R104" s="7" t="s">
        <v>199</v>
      </c>
      <c r="S104">
        <v>0.15874450000000001</v>
      </c>
      <c r="T104">
        <v>8.8337299999999994E-2</v>
      </c>
    </row>
    <row r="105" spans="1:21" ht="16">
      <c r="A105" t="s">
        <v>200</v>
      </c>
      <c r="B105">
        <f t="shared" si="4"/>
        <v>0.12892200000000001</v>
      </c>
      <c r="C105">
        <f t="shared" si="5"/>
        <v>8.1403400000000001E-2</v>
      </c>
      <c r="H105" t="s">
        <v>292</v>
      </c>
      <c r="R105" s="7" t="s">
        <v>200</v>
      </c>
      <c r="S105">
        <v>0.12892200000000001</v>
      </c>
      <c r="T105">
        <v>8.1403400000000001E-2</v>
      </c>
    </row>
    <row r="106" spans="1:21" ht="16">
      <c r="A106" t="s">
        <v>201</v>
      </c>
      <c r="B106">
        <f t="shared" si="4"/>
        <v>0.1185257</v>
      </c>
      <c r="C106">
        <f t="shared" si="5"/>
        <v>7.7700099999999994E-2</v>
      </c>
      <c r="H106" t="s">
        <v>293</v>
      </c>
      <c r="R106" s="7" t="s">
        <v>201</v>
      </c>
      <c r="S106">
        <v>0.1185257</v>
      </c>
      <c r="T106">
        <v>7.7700099999999994E-2</v>
      </c>
    </row>
    <row r="107" spans="1:21" ht="16">
      <c r="A107" t="s">
        <v>202</v>
      </c>
      <c r="B107">
        <f t="shared" si="4"/>
        <v>0.1024279</v>
      </c>
      <c r="C107">
        <f t="shared" si="5"/>
        <v>6.2371799999999998E-2</v>
      </c>
      <c r="H107" t="s">
        <v>294</v>
      </c>
      <c r="R107" s="7" t="s">
        <v>202</v>
      </c>
      <c r="S107">
        <v>0.1024279</v>
      </c>
      <c r="T107">
        <v>6.2371799999999998E-2</v>
      </c>
    </row>
    <row r="108" spans="1:21" ht="16">
      <c r="A108" t="s">
        <v>203</v>
      </c>
      <c r="B108">
        <f t="shared" si="4"/>
        <v>0.11665159999999999</v>
      </c>
      <c r="C108">
        <f t="shared" si="5"/>
        <v>7.5914599999999999E-2</v>
      </c>
      <c r="H108" t="s">
        <v>295</v>
      </c>
      <c r="R108" s="7" t="s">
        <v>203</v>
      </c>
      <c r="S108">
        <v>0.11665159999999999</v>
      </c>
      <c r="T108">
        <v>7.5914599999999999E-2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415</v>
      </c>
      <c r="T111" t="s">
        <v>422</v>
      </c>
      <c r="U111" t="s">
        <v>423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0.72759439999999997</v>
      </c>
      <c r="C117">
        <f t="shared" si="5"/>
        <v>0.849966</v>
      </c>
      <c r="H117" t="s">
        <v>297</v>
      </c>
      <c r="R117" s="7" t="s">
        <v>194</v>
      </c>
      <c r="S117">
        <v>0.72759439999999997</v>
      </c>
      <c r="T117">
        <v>0.849966</v>
      </c>
    </row>
    <row r="118" spans="1:20" ht="16">
      <c r="A118" t="s">
        <v>195</v>
      </c>
      <c r="B118">
        <f t="shared" si="4"/>
        <v>0.75420209999999999</v>
      </c>
      <c r="C118">
        <f t="shared" si="5"/>
        <v>0.88981440000000001</v>
      </c>
      <c r="H118" t="s">
        <v>298</v>
      </c>
      <c r="R118" s="7" t="s">
        <v>195</v>
      </c>
      <c r="S118">
        <v>0.75420209999999999</v>
      </c>
      <c r="T118">
        <v>0.88981440000000001</v>
      </c>
    </row>
    <row r="119" spans="1:20" ht="16">
      <c r="A119" t="s">
        <v>196</v>
      </c>
      <c r="B119">
        <f t="shared" si="4"/>
        <v>0.76946519999999996</v>
      </c>
      <c r="C119">
        <f t="shared" si="5"/>
        <v>0.89979030000000004</v>
      </c>
      <c r="H119" t="s">
        <v>299</v>
      </c>
      <c r="R119" s="7" t="s">
        <v>196</v>
      </c>
      <c r="S119">
        <v>0.76946519999999996</v>
      </c>
      <c r="T119">
        <v>0.89979030000000004</v>
      </c>
    </row>
    <row r="120" spans="1:20" ht="16">
      <c r="A120" t="s">
        <v>197</v>
      </c>
      <c r="B120">
        <f t="shared" si="4"/>
        <v>0.80008179999999995</v>
      </c>
      <c r="C120">
        <f t="shared" si="5"/>
        <v>0.90073000000000003</v>
      </c>
      <c r="H120" t="s">
        <v>300</v>
      </c>
      <c r="R120" s="7" t="s">
        <v>197</v>
      </c>
      <c r="S120">
        <v>0.80008179999999995</v>
      </c>
      <c r="T120">
        <v>0.90073000000000003</v>
      </c>
    </row>
    <row r="121" spans="1:20" ht="16">
      <c r="A121" t="s">
        <v>198</v>
      </c>
      <c r="B121">
        <f t="shared" si="4"/>
        <v>0.8220653</v>
      </c>
      <c r="C121">
        <f t="shared" si="5"/>
        <v>0.89874909999999997</v>
      </c>
      <c r="H121" t="s">
        <v>301</v>
      </c>
      <c r="R121" s="7" t="s">
        <v>198</v>
      </c>
      <c r="S121">
        <v>0.8220653</v>
      </c>
      <c r="T121">
        <v>0.89874909999999997</v>
      </c>
    </row>
    <row r="122" spans="1:20" ht="16">
      <c r="A122" t="s">
        <v>199</v>
      </c>
      <c r="B122">
        <f t="shared" si="4"/>
        <v>0.81623259999999997</v>
      </c>
      <c r="C122">
        <f t="shared" si="5"/>
        <v>0.90314170000000005</v>
      </c>
      <c r="H122" t="s">
        <v>302</v>
      </c>
      <c r="R122" s="7" t="s">
        <v>199</v>
      </c>
      <c r="S122">
        <v>0.81623259999999997</v>
      </c>
      <c r="T122">
        <v>0.90314170000000005</v>
      </c>
    </row>
    <row r="123" spans="1:20" ht="16">
      <c r="A123" t="s">
        <v>200</v>
      </c>
      <c r="B123">
        <f t="shared" si="4"/>
        <v>0.83594279999999999</v>
      </c>
      <c r="C123">
        <f t="shared" si="5"/>
        <v>0.90904039999999997</v>
      </c>
      <c r="H123" t="s">
        <v>303</v>
      </c>
      <c r="R123" s="7" t="s">
        <v>200</v>
      </c>
      <c r="S123">
        <v>0.83594279999999999</v>
      </c>
      <c r="T123">
        <v>0.90904039999999997</v>
      </c>
    </row>
    <row r="124" spans="1:20" ht="16">
      <c r="A124" t="s">
        <v>201</v>
      </c>
      <c r="B124">
        <f t="shared" si="4"/>
        <v>0.86703719999999995</v>
      </c>
      <c r="C124">
        <f t="shared" si="5"/>
        <v>0.90990320000000002</v>
      </c>
      <c r="H124" t="s">
        <v>304</v>
      </c>
      <c r="R124" s="7" t="s">
        <v>201</v>
      </c>
      <c r="S124">
        <v>0.86703719999999995</v>
      </c>
      <c r="T124">
        <v>0.90990320000000002</v>
      </c>
    </row>
    <row r="125" spans="1:20" ht="16">
      <c r="A125" t="s">
        <v>202</v>
      </c>
      <c r="B125">
        <f t="shared" si="4"/>
        <v>0.8725098</v>
      </c>
      <c r="C125">
        <f t="shared" si="5"/>
        <v>0.92002139999999999</v>
      </c>
      <c r="H125" t="s">
        <v>305</v>
      </c>
      <c r="R125" s="7" t="s">
        <v>202</v>
      </c>
      <c r="S125">
        <v>0.8725098</v>
      </c>
      <c r="T125">
        <v>0.92002139999999999</v>
      </c>
    </row>
    <row r="126" spans="1:20" ht="16">
      <c r="A126" t="s">
        <v>203</v>
      </c>
      <c r="B126">
        <f t="shared" si="4"/>
        <v>0.85232450000000004</v>
      </c>
      <c r="C126">
        <f t="shared" si="5"/>
        <v>0.90548220000000001</v>
      </c>
      <c r="H126" t="s">
        <v>306</v>
      </c>
      <c r="R126" s="7" t="s">
        <v>203</v>
      </c>
      <c r="S126">
        <v>0.85232450000000004</v>
      </c>
      <c r="T126">
        <v>0.90548220000000001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415</v>
      </c>
      <c r="T129" t="s">
        <v>424</v>
      </c>
      <c r="U129" t="s">
        <v>425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3.0633000000000001E-2</v>
      </c>
      <c r="C135">
        <f t="shared" si="5"/>
        <v>7.7051000000000003E-3</v>
      </c>
      <c r="H135" t="s">
        <v>308</v>
      </c>
      <c r="R135" s="7" t="s">
        <v>194</v>
      </c>
      <c r="S135">
        <v>3.0633000000000001E-2</v>
      </c>
      <c r="T135">
        <v>7.7051000000000003E-3</v>
      </c>
    </row>
    <row r="136" spans="1:21" ht="16">
      <c r="A136" t="s">
        <v>195</v>
      </c>
      <c r="B136">
        <f t="shared" si="4"/>
        <v>3.4492500000000002E-2</v>
      </c>
      <c r="C136">
        <f t="shared" si="5"/>
        <v>6.1925000000000001E-3</v>
      </c>
      <c r="H136" t="s">
        <v>309</v>
      </c>
      <c r="R136" s="7" t="s">
        <v>195</v>
      </c>
      <c r="S136">
        <v>3.4492500000000002E-2</v>
      </c>
      <c r="T136">
        <v>6.1925000000000001E-3</v>
      </c>
    </row>
    <row r="137" spans="1:21" ht="16">
      <c r="A137" t="s">
        <v>196</v>
      </c>
      <c r="B137">
        <f t="shared" si="4"/>
        <v>2.0450300000000001E-2</v>
      </c>
      <c r="C137">
        <f t="shared" si="5"/>
        <v>9.6717999999999995E-3</v>
      </c>
      <c r="H137" t="s">
        <v>310</v>
      </c>
      <c r="R137" s="7" t="s">
        <v>196</v>
      </c>
      <c r="S137">
        <v>2.0450300000000001E-2</v>
      </c>
      <c r="T137">
        <v>9.6717999999999995E-3</v>
      </c>
    </row>
    <row r="138" spans="1:21" ht="16">
      <c r="A138" t="s">
        <v>197</v>
      </c>
      <c r="B138">
        <f t="shared" si="4"/>
        <v>3.0615E-2</v>
      </c>
      <c r="C138">
        <f t="shared" si="5"/>
        <v>9.6567000000000007E-3</v>
      </c>
      <c r="H138" t="s">
        <v>311</v>
      </c>
      <c r="R138" s="7" t="s">
        <v>197</v>
      </c>
      <c r="S138">
        <v>3.0615E-2</v>
      </c>
      <c r="T138">
        <v>9.6567000000000007E-3</v>
      </c>
    </row>
    <row r="139" spans="1:21" ht="16">
      <c r="A139" t="s">
        <v>198</v>
      </c>
      <c r="B139">
        <f t="shared" si="4"/>
        <v>3.3473200000000002E-2</v>
      </c>
      <c r="C139">
        <f t="shared" si="5"/>
        <v>8.9764000000000007E-3</v>
      </c>
      <c r="H139" t="s">
        <v>312</v>
      </c>
      <c r="R139" s="7" t="s">
        <v>198</v>
      </c>
      <c r="S139">
        <v>3.3473200000000002E-2</v>
      </c>
      <c r="T139">
        <v>8.9764000000000007E-3</v>
      </c>
    </row>
    <row r="140" spans="1:21" ht="16">
      <c r="A140" t="s">
        <v>199</v>
      </c>
      <c r="B140">
        <f t="shared" si="4"/>
        <v>2.5022900000000001E-2</v>
      </c>
      <c r="C140">
        <f t="shared" si="5"/>
        <v>8.5210000000000008E-3</v>
      </c>
      <c r="H140" t="s">
        <v>313</v>
      </c>
      <c r="R140" s="7" t="s">
        <v>199</v>
      </c>
      <c r="S140">
        <v>2.5022900000000001E-2</v>
      </c>
      <c r="T140">
        <v>8.5210000000000008E-3</v>
      </c>
    </row>
    <row r="141" spans="1:21" ht="16">
      <c r="A141" t="s">
        <v>200</v>
      </c>
      <c r="B141">
        <f t="shared" si="4"/>
        <v>3.5135100000000002E-2</v>
      </c>
      <c r="C141">
        <f t="shared" si="5"/>
        <v>9.5562000000000008E-3</v>
      </c>
      <c r="H141" t="s">
        <v>314</v>
      </c>
      <c r="R141" s="7" t="s">
        <v>200</v>
      </c>
      <c r="S141">
        <v>3.5135100000000002E-2</v>
      </c>
      <c r="T141">
        <v>9.5562000000000008E-3</v>
      </c>
    </row>
    <row r="142" spans="1:21" ht="16">
      <c r="A142" t="s">
        <v>201</v>
      </c>
      <c r="B142">
        <f t="shared" si="4"/>
        <v>1.44371E-2</v>
      </c>
      <c r="C142">
        <f t="shared" si="5"/>
        <v>1.2396600000000001E-2</v>
      </c>
      <c r="H142" t="s">
        <v>315</v>
      </c>
      <c r="R142" s="7" t="s">
        <v>201</v>
      </c>
      <c r="S142">
        <v>1.44371E-2</v>
      </c>
      <c r="T142">
        <v>1.2396600000000001E-2</v>
      </c>
    </row>
    <row r="143" spans="1:21" ht="16">
      <c r="A143" t="s">
        <v>202</v>
      </c>
      <c r="B143">
        <f t="shared" si="4"/>
        <v>2.5062299999999999E-2</v>
      </c>
      <c r="C143">
        <f t="shared" si="5"/>
        <v>1.7606799999999999E-2</v>
      </c>
      <c r="H143" t="s">
        <v>316</v>
      </c>
      <c r="R143" s="7" t="s">
        <v>202</v>
      </c>
      <c r="S143">
        <v>2.5062299999999999E-2</v>
      </c>
      <c r="T143">
        <v>1.7606799999999999E-2</v>
      </c>
    </row>
    <row r="144" spans="1:21" ht="16">
      <c r="A144" t="s">
        <v>203</v>
      </c>
      <c r="B144">
        <f t="shared" si="4"/>
        <v>3.1023999999999999E-2</v>
      </c>
      <c r="C144">
        <f t="shared" si="5"/>
        <v>1.86032E-2</v>
      </c>
      <c r="H144" t="s">
        <v>317</v>
      </c>
      <c r="R144" s="7" t="s">
        <v>203</v>
      </c>
      <c r="S144">
        <v>3.1023999999999999E-2</v>
      </c>
      <c r="T144">
        <v>1.86032E-2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376</v>
      </c>
      <c r="B147" t="s">
        <v>214</v>
      </c>
      <c r="H147" t="s">
        <v>318</v>
      </c>
      <c r="R147" t="s">
        <v>426</v>
      </c>
      <c r="S147" t="s">
        <v>214</v>
      </c>
    </row>
    <row r="148" spans="1:21" ht="16">
      <c r="H148" t="s">
        <v>378</v>
      </c>
      <c r="R148" s="7" t="s">
        <v>180</v>
      </c>
      <c r="S148" t="s">
        <v>415</v>
      </c>
      <c r="T148" t="s">
        <v>427</v>
      </c>
      <c r="U148" t="s">
        <v>428</v>
      </c>
    </row>
    <row r="150" spans="1:21" ht="16">
      <c r="H150" t="s">
        <v>226</v>
      </c>
      <c r="R150" s="7" t="s">
        <v>184</v>
      </c>
      <c r="S150" t="s">
        <v>185</v>
      </c>
      <c r="T150" t="s">
        <v>186</v>
      </c>
    </row>
    <row r="151" spans="1:21" ht="16">
      <c r="H151" t="s">
        <v>227</v>
      </c>
      <c r="R151" s="7" t="s">
        <v>187</v>
      </c>
      <c r="S151" t="s">
        <v>188</v>
      </c>
      <c r="T151" t="s">
        <v>189</v>
      </c>
    </row>
    <row r="152" spans="1:21" ht="16">
      <c r="H152" t="s">
        <v>228</v>
      </c>
      <c r="R152" s="7" t="s">
        <v>190</v>
      </c>
      <c r="S152" t="s">
        <v>191</v>
      </c>
      <c r="T152" t="s">
        <v>192</v>
      </c>
    </row>
    <row r="153" spans="1:21" ht="16">
      <c r="H153" t="s">
        <v>229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-107.23690000000001</v>
      </c>
      <c r="C154">
        <f>T154</f>
        <v>-17.34198</v>
      </c>
      <c r="H154" t="s">
        <v>379</v>
      </c>
      <c r="R154" s="7" t="s">
        <v>194</v>
      </c>
      <c r="S154">
        <v>-107.23690000000001</v>
      </c>
      <c r="T154">
        <v>-17.34198</v>
      </c>
    </row>
    <row r="155" spans="1:21" ht="16">
      <c r="B155">
        <f t="shared" ref="B155:B163" si="6">S155</f>
        <v>-3.215967</v>
      </c>
      <c r="C155">
        <f t="shared" ref="C155:C163" si="7">T155</f>
        <v>-1.5997060000000001</v>
      </c>
      <c r="H155" t="s">
        <v>380</v>
      </c>
      <c r="R155" s="7" t="s">
        <v>195</v>
      </c>
      <c r="S155">
        <v>-3.215967</v>
      </c>
      <c r="T155">
        <v>-1.5997060000000001</v>
      </c>
    </row>
    <row r="156" spans="1:21" ht="16">
      <c r="B156">
        <f t="shared" si="6"/>
        <v>-1.8189</v>
      </c>
      <c r="C156">
        <f t="shared" si="7"/>
        <v>-0.84069190000000005</v>
      </c>
      <c r="H156" t="s">
        <v>381</v>
      </c>
      <c r="R156" s="7" t="s">
        <v>196</v>
      </c>
      <c r="S156">
        <v>-1.8189</v>
      </c>
      <c r="T156">
        <v>-0.84069190000000005</v>
      </c>
    </row>
    <row r="157" spans="1:21" ht="16">
      <c r="B157">
        <f t="shared" si="6"/>
        <v>-1.1538409999999999</v>
      </c>
      <c r="C157">
        <f t="shared" si="7"/>
        <v>-0.59633020000000003</v>
      </c>
      <c r="H157" t="s">
        <v>382</v>
      </c>
      <c r="R157" s="7" t="s">
        <v>197</v>
      </c>
      <c r="S157">
        <v>-1.1538409999999999</v>
      </c>
      <c r="T157">
        <v>-0.59633020000000003</v>
      </c>
    </row>
    <row r="158" spans="1:21" ht="16">
      <c r="B158">
        <f t="shared" si="6"/>
        <v>-0.91058499999999998</v>
      </c>
      <c r="C158">
        <f t="shared" si="7"/>
        <v>-0.3363025</v>
      </c>
      <c r="H158" t="s">
        <v>383</v>
      </c>
      <c r="R158" s="7" t="s">
        <v>198</v>
      </c>
      <c r="S158">
        <v>-0.91058499999999998</v>
      </c>
      <c r="T158">
        <v>-0.3363025</v>
      </c>
    </row>
    <row r="159" spans="1:21" ht="16">
      <c r="B159">
        <f t="shared" si="6"/>
        <v>-0.57239499999999999</v>
      </c>
      <c r="C159">
        <f t="shared" si="7"/>
        <v>-0.14508260000000001</v>
      </c>
      <c r="H159" t="s">
        <v>384</v>
      </c>
      <c r="R159" s="7" t="s">
        <v>199</v>
      </c>
      <c r="S159">
        <v>-0.57239499999999999</v>
      </c>
      <c r="T159">
        <v>-0.14508260000000001</v>
      </c>
    </row>
    <row r="160" spans="1:21" ht="16">
      <c r="B160">
        <f t="shared" si="6"/>
        <v>-0.43006450000000002</v>
      </c>
      <c r="C160">
        <f t="shared" si="7"/>
        <v>-1.9368699999999999E-2</v>
      </c>
      <c r="H160" t="s">
        <v>385</v>
      </c>
      <c r="R160" s="7" t="s">
        <v>200</v>
      </c>
      <c r="S160">
        <v>-0.43006450000000002</v>
      </c>
      <c r="T160">
        <v>-1.9368699999999999E-2</v>
      </c>
    </row>
    <row r="161" spans="1:25" ht="16">
      <c r="B161">
        <f t="shared" si="6"/>
        <v>-5.9901999999999997E-2</v>
      </c>
      <c r="C161">
        <f t="shared" si="7"/>
        <v>8.8201600000000005E-2</v>
      </c>
      <c r="H161" t="s">
        <v>386</v>
      </c>
      <c r="R161" s="7" t="s">
        <v>201</v>
      </c>
      <c r="S161">
        <v>-5.9901999999999997E-2</v>
      </c>
      <c r="T161">
        <v>8.8201600000000005E-2</v>
      </c>
    </row>
    <row r="162" spans="1:25" ht="16">
      <c r="B162">
        <f t="shared" si="6"/>
        <v>-9.6796999999999994E-3</v>
      </c>
      <c r="C162">
        <f t="shared" si="7"/>
        <v>0.24618789999999999</v>
      </c>
      <c r="H162" t="s">
        <v>387</v>
      </c>
      <c r="R162" s="7" t="s">
        <v>202</v>
      </c>
      <c r="S162">
        <v>-9.6796999999999994E-3</v>
      </c>
      <c r="T162">
        <v>0.24618789999999999</v>
      </c>
    </row>
    <row r="163" spans="1:25" ht="16">
      <c r="B163">
        <f t="shared" si="6"/>
        <v>0.31816620000000001</v>
      </c>
      <c r="C163">
        <f t="shared" si="7"/>
        <v>0.40645500000000001</v>
      </c>
      <c r="H163" t="s">
        <v>388</v>
      </c>
      <c r="R163" s="7" t="s">
        <v>203</v>
      </c>
      <c r="S163">
        <v>0.31816620000000001</v>
      </c>
      <c r="T163">
        <v>0.40645500000000001</v>
      </c>
    </row>
    <row r="164" spans="1:25" ht="16">
      <c r="H164" t="s">
        <v>226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8" t="s">
        <v>429</v>
      </c>
      <c r="S166" s="2" t="s">
        <v>430</v>
      </c>
      <c r="T166" s="2" t="s">
        <v>431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415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0.40741620000000001</v>
      </c>
      <c r="C173">
        <f>T173</f>
        <v>0.4434399</v>
      </c>
      <c r="H173" t="s">
        <v>321</v>
      </c>
      <c r="R173" s="8" t="s">
        <v>194</v>
      </c>
      <c r="S173" s="2">
        <v>0.40741620000000001</v>
      </c>
      <c r="T173" s="2">
        <v>0.4434399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0.44239220000000001</v>
      </c>
      <c r="C174">
        <f t="shared" ref="C174:C237" si="9">T174</f>
        <v>0.5016448</v>
      </c>
      <c r="H174" t="s">
        <v>322</v>
      </c>
      <c r="R174" s="8" t="s">
        <v>195</v>
      </c>
      <c r="S174" s="2">
        <v>0.44239220000000001</v>
      </c>
      <c r="T174" s="2">
        <v>0.5016448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0.44958009999999998</v>
      </c>
      <c r="C175">
        <f t="shared" si="9"/>
        <v>0.46332489999999998</v>
      </c>
      <c r="H175" t="s">
        <v>323</v>
      </c>
      <c r="R175" s="8" t="s">
        <v>196</v>
      </c>
      <c r="S175" s="2">
        <v>0.44958009999999998</v>
      </c>
      <c r="T175" s="2">
        <v>0.46332489999999998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0.47193990000000002</v>
      </c>
      <c r="C176">
        <f t="shared" si="9"/>
        <v>0.47115370000000001</v>
      </c>
      <c r="H176" t="s">
        <v>324</v>
      </c>
      <c r="R176" s="8" t="s">
        <v>197</v>
      </c>
      <c r="S176" s="2">
        <v>0.47193990000000002</v>
      </c>
      <c r="T176" s="2">
        <v>0.47115370000000001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0.40153909999999998</v>
      </c>
      <c r="C177">
        <f t="shared" si="9"/>
        <v>0.45671859999999997</v>
      </c>
      <c r="H177" t="s">
        <v>325</v>
      </c>
      <c r="R177" s="8" t="s">
        <v>198</v>
      </c>
      <c r="S177" s="2">
        <v>0.40153909999999998</v>
      </c>
      <c r="T177" s="2">
        <v>0.45671859999999997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0.40977449999999999</v>
      </c>
      <c r="C178">
        <f t="shared" si="9"/>
        <v>0.44628129999999999</v>
      </c>
      <c r="H178" t="s">
        <v>326</v>
      </c>
      <c r="R178" s="8" t="s">
        <v>199</v>
      </c>
      <c r="S178" s="2">
        <v>0.40977449999999999</v>
      </c>
      <c r="T178" s="2">
        <v>0.44628129999999999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0.3965301</v>
      </c>
      <c r="C179">
        <f t="shared" si="9"/>
        <v>0.40748499999999999</v>
      </c>
      <c r="H179" t="s">
        <v>327</v>
      </c>
      <c r="R179" s="8" t="s">
        <v>200</v>
      </c>
      <c r="S179" s="2">
        <v>0.3965301</v>
      </c>
      <c r="T179" s="2">
        <v>0.40748499999999999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0.40795310000000001</v>
      </c>
      <c r="C180">
        <f t="shared" si="9"/>
        <v>0.42250579999999999</v>
      </c>
      <c r="H180" t="s">
        <v>328</v>
      </c>
      <c r="R180" s="8" t="s">
        <v>201</v>
      </c>
      <c r="S180" s="2">
        <v>0.40795310000000001</v>
      </c>
      <c r="T180" s="2">
        <v>0.42250579999999999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0.37172440000000001</v>
      </c>
      <c r="C181">
        <f t="shared" si="9"/>
        <v>0.37619829999999999</v>
      </c>
      <c r="H181" t="s">
        <v>329</v>
      </c>
      <c r="R181" s="8" t="s">
        <v>202</v>
      </c>
      <c r="S181" s="2">
        <v>0.37172440000000001</v>
      </c>
      <c r="T181" s="2">
        <v>0.37619829999999999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0.305342</v>
      </c>
      <c r="C182">
        <f t="shared" si="9"/>
        <v>0.33251849999999999</v>
      </c>
      <c r="H182" t="s">
        <v>330</v>
      </c>
      <c r="R182" s="8" t="s">
        <v>203</v>
      </c>
      <c r="S182" s="2">
        <v>0.305342</v>
      </c>
      <c r="T182" s="2">
        <v>0.33251849999999999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415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0.3737859</v>
      </c>
      <c r="C191">
        <f t="shared" si="9"/>
        <v>0.4885544</v>
      </c>
      <c r="H191" t="s">
        <v>332</v>
      </c>
      <c r="R191" s="8" t="s">
        <v>194</v>
      </c>
      <c r="S191" s="2">
        <v>0.3737859</v>
      </c>
      <c r="T191" s="2">
        <v>0.4885544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0.36976949999999997</v>
      </c>
      <c r="C192">
        <f t="shared" si="9"/>
        <v>0.43749749999999998</v>
      </c>
      <c r="H192" t="s">
        <v>333</v>
      </c>
      <c r="R192" s="8" t="s">
        <v>195</v>
      </c>
      <c r="S192" s="2">
        <v>0.36976949999999997</v>
      </c>
      <c r="T192" s="2">
        <v>0.43749749999999998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0.35520639999999998</v>
      </c>
      <c r="C193">
        <f t="shared" si="9"/>
        <v>0.47266819999999998</v>
      </c>
      <c r="H193" t="s">
        <v>334</v>
      </c>
      <c r="R193" s="8" t="s">
        <v>196</v>
      </c>
      <c r="S193" s="2">
        <v>0.35520639999999998</v>
      </c>
      <c r="T193" s="2">
        <v>0.47266819999999998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0.36666609999999999</v>
      </c>
      <c r="C194">
        <f t="shared" si="9"/>
        <v>0.4514533</v>
      </c>
      <c r="H194" t="s">
        <v>335</v>
      </c>
      <c r="R194" s="8" t="s">
        <v>197</v>
      </c>
      <c r="S194" s="2">
        <v>0.36666609999999999</v>
      </c>
      <c r="T194" s="2">
        <v>0.4514533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0.38721559999999999</v>
      </c>
      <c r="C195">
        <f t="shared" si="9"/>
        <v>0.4517216</v>
      </c>
      <c r="H195" t="s">
        <v>336</v>
      </c>
      <c r="R195" s="8" t="s">
        <v>198</v>
      </c>
      <c r="S195" s="2">
        <v>0.38721559999999999</v>
      </c>
      <c r="T195" s="2">
        <v>0.4517216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0.3636836</v>
      </c>
      <c r="C196">
        <f t="shared" si="9"/>
        <v>0.47367029999999999</v>
      </c>
      <c r="H196" t="s">
        <v>337</v>
      </c>
      <c r="R196" s="8" t="s">
        <v>199</v>
      </c>
      <c r="S196" s="2">
        <v>0.3636836</v>
      </c>
      <c r="T196" s="2">
        <v>0.47367029999999999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0.3453426</v>
      </c>
      <c r="C197">
        <f t="shared" si="9"/>
        <v>0.48942530000000001</v>
      </c>
      <c r="H197" t="s">
        <v>338</v>
      </c>
      <c r="R197" s="8" t="s">
        <v>200</v>
      </c>
      <c r="S197" s="2">
        <v>0.3453426</v>
      </c>
      <c r="T197" s="2">
        <v>0.48942530000000001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0.34722120000000001</v>
      </c>
      <c r="C198">
        <f t="shared" si="9"/>
        <v>0.48243550000000002</v>
      </c>
      <c r="H198" t="s">
        <v>339</v>
      </c>
      <c r="R198" s="8" t="s">
        <v>201</v>
      </c>
      <c r="S198" s="2">
        <v>0.34722120000000001</v>
      </c>
      <c r="T198" s="2">
        <v>0.48243550000000002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0.3156233</v>
      </c>
      <c r="C199">
        <f t="shared" si="9"/>
        <v>0.50860070000000002</v>
      </c>
      <c r="H199" t="s">
        <v>340</v>
      </c>
      <c r="R199" s="8" t="s">
        <v>202</v>
      </c>
      <c r="S199" s="2">
        <v>0.3156233</v>
      </c>
      <c r="T199" s="2">
        <v>0.50860070000000002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0.2571446</v>
      </c>
      <c r="C200">
        <f t="shared" si="9"/>
        <v>0.51482930000000005</v>
      </c>
      <c r="H200" t="s">
        <v>341</v>
      </c>
      <c r="R200" s="8" t="s">
        <v>203</v>
      </c>
      <c r="S200" s="2">
        <v>0.2571446</v>
      </c>
      <c r="T200" s="2">
        <v>0.51482930000000005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415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0.12448389999999999</v>
      </c>
      <c r="C209">
        <f t="shared" si="9"/>
        <v>5.1211199999999998E-2</v>
      </c>
      <c r="H209" t="s">
        <v>343</v>
      </c>
      <c r="R209" s="8" t="s">
        <v>194</v>
      </c>
      <c r="S209" s="2">
        <v>0.12448389999999999</v>
      </c>
      <c r="T209" s="2">
        <v>5.1211199999999998E-2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0.1147331</v>
      </c>
      <c r="C210">
        <f t="shared" si="9"/>
        <v>4.7509200000000001E-2</v>
      </c>
      <c r="H210" t="s">
        <v>344</v>
      </c>
      <c r="R210" s="8" t="s">
        <v>195</v>
      </c>
      <c r="S210" s="2">
        <v>0.1147331</v>
      </c>
      <c r="T210" s="2">
        <v>4.7509200000000001E-2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0.10376730000000001</v>
      </c>
      <c r="C211">
        <f t="shared" si="9"/>
        <v>4.5802200000000001E-2</v>
      </c>
      <c r="H211" t="s">
        <v>345</v>
      </c>
      <c r="R211" s="8" t="s">
        <v>196</v>
      </c>
      <c r="S211" s="2">
        <v>0.10376730000000001</v>
      </c>
      <c r="T211" s="2">
        <v>4.5802200000000001E-2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9.1489600000000004E-2</v>
      </c>
      <c r="C212">
        <f t="shared" si="9"/>
        <v>6.3436199999999998E-2</v>
      </c>
      <c r="H212" t="s">
        <v>346</v>
      </c>
      <c r="R212" s="8" t="s">
        <v>197</v>
      </c>
      <c r="S212" s="2">
        <v>9.1489600000000004E-2</v>
      </c>
      <c r="T212" s="2">
        <v>6.3436199999999998E-2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0.1192782</v>
      </c>
      <c r="C213">
        <f t="shared" si="9"/>
        <v>6.8781800000000004E-2</v>
      </c>
      <c r="H213" t="s">
        <v>347</v>
      </c>
      <c r="R213" s="8" t="s">
        <v>198</v>
      </c>
      <c r="S213" s="2">
        <v>0.1192782</v>
      </c>
      <c r="T213" s="2">
        <v>6.8781800000000004E-2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0.1263774</v>
      </c>
      <c r="C214">
        <f t="shared" si="9"/>
        <v>5.68911E-2</v>
      </c>
      <c r="H214" t="s">
        <v>348</v>
      </c>
      <c r="R214" s="8" t="s">
        <v>199</v>
      </c>
      <c r="S214" s="2">
        <v>0.1263774</v>
      </c>
      <c r="T214" s="2">
        <v>5.68911E-2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0.12682840000000001</v>
      </c>
      <c r="C215">
        <f t="shared" si="9"/>
        <v>6.8147200000000005E-2</v>
      </c>
      <c r="H215" t="s">
        <v>349</v>
      </c>
      <c r="R215" s="8" t="s">
        <v>200</v>
      </c>
      <c r="S215" s="2">
        <v>0.12682840000000001</v>
      </c>
      <c r="T215" s="2">
        <v>6.8147200000000005E-2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0.11572830000000001</v>
      </c>
      <c r="C216">
        <f t="shared" si="9"/>
        <v>5.9134399999999997E-2</v>
      </c>
      <c r="H216" t="s">
        <v>350</v>
      </c>
      <c r="R216" s="8" t="s">
        <v>201</v>
      </c>
      <c r="S216" s="2">
        <v>0.11572830000000001</v>
      </c>
      <c r="T216" s="2">
        <v>5.9134399999999997E-2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0.1188314</v>
      </c>
      <c r="C217">
        <f t="shared" si="9"/>
        <v>6.8095299999999997E-2</v>
      </c>
      <c r="H217" t="s">
        <v>351</v>
      </c>
      <c r="R217" s="8" t="s">
        <v>202</v>
      </c>
      <c r="S217" s="2">
        <v>0.1188314</v>
      </c>
      <c r="T217" s="2">
        <v>6.8095299999999997E-2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0.1115497</v>
      </c>
      <c r="C218">
        <f t="shared" si="9"/>
        <v>7.7329400000000006E-2</v>
      </c>
      <c r="H218" t="s">
        <v>352</v>
      </c>
      <c r="R218" s="8" t="s">
        <v>203</v>
      </c>
      <c r="S218" s="2">
        <v>0.1115497</v>
      </c>
      <c r="T218" s="2">
        <v>7.7329400000000006E-2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7" t="s">
        <v>180</v>
      </c>
      <c r="S221" t="s">
        <v>415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7.6004199999999994E-2</v>
      </c>
      <c r="C227">
        <f t="shared" si="9"/>
        <v>1.49821E-2</v>
      </c>
      <c r="H227" t="s">
        <v>354</v>
      </c>
      <c r="R227" s="7" t="s">
        <v>194</v>
      </c>
      <c r="S227">
        <v>7.6004199999999994E-2</v>
      </c>
      <c r="T227">
        <v>1.49821E-2</v>
      </c>
    </row>
    <row r="228" spans="1:21" ht="16">
      <c r="A228" t="s">
        <v>195</v>
      </c>
      <c r="B228">
        <f t="shared" si="8"/>
        <v>6.27389E-2</v>
      </c>
      <c r="C228">
        <f t="shared" si="9"/>
        <v>1.1040700000000001E-2</v>
      </c>
      <c r="H228" t="s">
        <v>355</v>
      </c>
      <c r="R228" s="7" t="s">
        <v>195</v>
      </c>
      <c r="S228">
        <v>6.27389E-2</v>
      </c>
      <c r="T228">
        <v>1.1040700000000001E-2</v>
      </c>
    </row>
    <row r="229" spans="1:21" ht="16">
      <c r="A229" t="s">
        <v>196</v>
      </c>
      <c r="B229">
        <f t="shared" si="8"/>
        <v>7.1302900000000002E-2</v>
      </c>
      <c r="C229">
        <f t="shared" si="9"/>
        <v>1.6940400000000001E-2</v>
      </c>
      <c r="H229" t="s">
        <v>356</v>
      </c>
      <c r="R229" s="7" t="s">
        <v>196</v>
      </c>
      <c r="S229">
        <v>7.1302900000000002E-2</v>
      </c>
      <c r="T229">
        <v>1.6940400000000001E-2</v>
      </c>
    </row>
    <row r="230" spans="1:21" ht="16">
      <c r="A230" t="s">
        <v>197</v>
      </c>
      <c r="B230">
        <f t="shared" si="8"/>
        <v>6.5549700000000002E-2</v>
      </c>
      <c r="C230">
        <f t="shared" si="9"/>
        <v>1.2887300000000001E-2</v>
      </c>
      <c r="H230" t="s">
        <v>357</v>
      </c>
      <c r="R230" s="7" t="s">
        <v>197</v>
      </c>
      <c r="S230">
        <v>6.5549700000000002E-2</v>
      </c>
      <c r="T230">
        <v>1.2887300000000001E-2</v>
      </c>
    </row>
    <row r="231" spans="1:21" ht="16">
      <c r="A231" t="s">
        <v>198</v>
      </c>
      <c r="B231">
        <f t="shared" si="8"/>
        <v>8.1350800000000001E-2</v>
      </c>
      <c r="C231">
        <f t="shared" si="9"/>
        <v>1.9680300000000001E-2</v>
      </c>
      <c r="H231" t="s">
        <v>358</v>
      </c>
      <c r="R231" s="7" t="s">
        <v>198</v>
      </c>
      <c r="S231">
        <v>8.1350800000000001E-2</v>
      </c>
      <c r="T231">
        <v>1.9680300000000001E-2</v>
      </c>
    </row>
    <row r="232" spans="1:21" ht="16">
      <c r="A232" t="s">
        <v>199</v>
      </c>
      <c r="B232">
        <f t="shared" si="8"/>
        <v>8.9017600000000002E-2</v>
      </c>
      <c r="C232">
        <f t="shared" si="9"/>
        <v>2.1921300000000001E-2</v>
      </c>
      <c r="H232" t="s">
        <v>359</v>
      </c>
      <c r="R232" s="7" t="s">
        <v>199</v>
      </c>
      <c r="S232">
        <v>8.9017600000000002E-2</v>
      </c>
      <c r="T232">
        <v>2.1921300000000001E-2</v>
      </c>
    </row>
    <row r="233" spans="1:21" ht="16">
      <c r="A233" t="s">
        <v>200</v>
      </c>
      <c r="B233">
        <f t="shared" si="8"/>
        <v>0.1014901</v>
      </c>
      <c r="C233">
        <f t="shared" si="9"/>
        <v>2.981E-2</v>
      </c>
      <c r="H233" t="s">
        <v>360</v>
      </c>
      <c r="R233" s="7" t="s">
        <v>200</v>
      </c>
      <c r="S233">
        <v>0.1014901</v>
      </c>
      <c r="T233">
        <v>2.981E-2</v>
      </c>
    </row>
    <row r="234" spans="1:21" ht="16">
      <c r="A234" t="s">
        <v>201</v>
      </c>
      <c r="B234">
        <f t="shared" si="8"/>
        <v>0.1034795</v>
      </c>
      <c r="C234">
        <f t="shared" si="9"/>
        <v>3.3921399999999997E-2</v>
      </c>
      <c r="H234" t="s">
        <v>361</v>
      </c>
      <c r="R234" s="7" t="s">
        <v>201</v>
      </c>
      <c r="S234">
        <v>0.1034795</v>
      </c>
      <c r="T234">
        <v>3.3921399999999997E-2</v>
      </c>
    </row>
    <row r="235" spans="1:21" ht="16">
      <c r="A235" t="s">
        <v>202</v>
      </c>
      <c r="B235">
        <f t="shared" si="8"/>
        <v>0.14265910000000001</v>
      </c>
      <c r="C235">
        <f t="shared" si="9"/>
        <v>3.95526E-2</v>
      </c>
      <c r="H235" t="s">
        <v>362</v>
      </c>
      <c r="R235" s="7" t="s">
        <v>202</v>
      </c>
      <c r="S235">
        <v>0.14265910000000001</v>
      </c>
      <c r="T235">
        <v>3.95526E-2</v>
      </c>
    </row>
    <row r="236" spans="1:21" ht="16">
      <c r="A236" t="s">
        <v>203</v>
      </c>
      <c r="B236">
        <f t="shared" si="8"/>
        <v>0.1713597</v>
      </c>
      <c r="C236">
        <f t="shared" si="9"/>
        <v>5.1257999999999998E-2</v>
      </c>
      <c r="H236" t="s">
        <v>363</v>
      </c>
      <c r="R236" s="7" t="s">
        <v>203</v>
      </c>
      <c r="S236">
        <v>0.1713597</v>
      </c>
      <c r="T236">
        <v>5.1257999999999998E-2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7" t="s">
        <v>180</v>
      </c>
      <c r="S239" t="s">
        <v>415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1.67279E-2</v>
      </c>
      <c r="C245">
        <f t="shared" si="11"/>
        <v>4.6250000000000002E-4</v>
      </c>
      <c r="H245" t="s">
        <v>365</v>
      </c>
      <c r="R245" s="7" t="s">
        <v>194</v>
      </c>
      <c r="S245">
        <v>1.67279E-2</v>
      </c>
      <c r="T245">
        <v>4.6250000000000002E-4</v>
      </c>
    </row>
    <row r="246" spans="1:20" ht="16">
      <c r="A246" t="s">
        <v>195</v>
      </c>
      <c r="B246">
        <f t="shared" si="10"/>
        <v>1.03664E-2</v>
      </c>
      <c r="C246">
        <f t="shared" si="11"/>
        <v>1.8513E-3</v>
      </c>
      <c r="H246" t="s">
        <v>366</v>
      </c>
      <c r="R246" s="7" t="s">
        <v>195</v>
      </c>
      <c r="S246">
        <v>1.03664E-2</v>
      </c>
      <c r="T246">
        <v>1.8513E-3</v>
      </c>
    </row>
    <row r="247" spans="1:20" ht="16">
      <c r="A247" t="s">
        <v>196</v>
      </c>
      <c r="B247">
        <f t="shared" si="10"/>
        <v>1.93206E-2</v>
      </c>
      <c r="C247">
        <f t="shared" si="11"/>
        <v>8.6660000000000003E-4</v>
      </c>
      <c r="H247" t="s">
        <v>367</v>
      </c>
      <c r="R247" s="7" t="s">
        <v>196</v>
      </c>
      <c r="S247">
        <v>1.93206E-2</v>
      </c>
      <c r="T247">
        <v>8.6660000000000003E-4</v>
      </c>
    </row>
    <row r="248" spans="1:20" ht="16">
      <c r="A248" t="s">
        <v>197</v>
      </c>
      <c r="B248">
        <f t="shared" si="10"/>
        <v>3.1224999999999998E-3</v>
      </c>
      <c r="C248">
        <f t="shared" si="11"/>
        <v>6.0639999999999999E-4</v>
      </c>
      <c r="H248" t="s">
        <v>368</v>
      </c>
      <c r="R248" s="7" t="s">
        <v>197</v>
      </c>
      <c r="S248">
        <v>3.1224999999999998E-3</v>
      </c>
      <c r="T248">
        <v>6.0639999999999999E-4</v>
      </c>
    </row>
    <row r="249" spans="1:20" ht="16">
      <c r="A249" t="s">
        <v>198</v>
      </c>
      <c r="B249">
        <f t="shared" si="10"/>
        <v>8.7884999999999994E-3</v>
      </c>
      <c r="C249">
        <f t="shared" si="11"/>
        <v>7.6749999999999995E-4</v>
      </c>
      <c r="H249" t="s">
        <v>369</v>
      </c>
      <c r="R249" s="7" t="s">
        <v>198</v>
      </c>
      <c r="S249">
        <v>8.7884999999999994E-3</v>
      </c>
      <c r="T249">
        <v>7.6749999999999995E-4</v>
      </c>
    </row>
    <row r="250" spans="1:20" ht="16">
      <c r="A250" t="s">
        <v>199</v>
      </c>
      <c r="B250">
        <f t="shared" si="10"/>
        <v>8.8395000000000001E-3</v>
      </c>
      <c r="C250">
        <f t="shared" si="11"/>
        <v>1.2359999999999999E-3</v>
      </c>
      <c r="H250" t="s">
        <v>370</v>
      </c>
      <c r="R250" s="7" t="s">
        <v>199</v>
      </c>
      <c r="S250">
        <v>8.8395000000000001E-3</v>
      </c>
      <c r="T250">
        <v>1.2359999999999999E-3</v>
      </c>
    </row>
    <row r="251" spans="1:20" ht="16">
      <c r="A251" t="s">
        <v>200</v>
      </c>
      <c r="B251">
        <f t="shared" si="10"/>
        <v>2.3395800000000001E-2</v>
      </c>
      <c r="C251">
        <f t="shared" si="11"/>
        <v>5.1324999999999999E-3</v>
      </c>
      <c r="H251" t="s">
        <v>371</v>
      </c>
      <c r="R251" s="7" t="s">
        <v>200</v>
      </c>
      <c r="S251">
        <v>2.3395800000000001E-2</v>
      </c>
      <c r="T251">
        <v>5.1324999999999999E-3</v>
      </c>
    </row>
    <row r="252" spans="1:20" ht="16">
      <c r="A252" t="s">
        <v>201</v>
      </c>
      <c r="B252">
        <f t="shared" si="10"/>
        <v>2.5097000000000001E-2</v>
      </c>
      <c r="C252">
        <f t="shared" si="11"/>
        <v>1.3659E-3</v>
      </c>
      <c r="H252" t="s">
        <v>372</v>
      </c>
      <c r="R252" s="7" t="s">
        <v>201</v>
      </c>
      <c r="S252">
        <v>2.5097000000000001E-2</v>
      </c>
      <c r="T252">
        <v>1.3659E-3</v>
      </c>
    </row>
    <row r="253" spans="1:20" ht="16">
      <c r="A253" t="s">
        <v>202</v>
      </c>
      <c r="B253">
        <f t="shared" si="10"/>
        <v>4.98544E-2</v>
      </c>
      <c r="C253">
        <f t="shared" si="11"/>
        <v>7.5531000000000001E-3</v>
      </c>
      <c r="H253" t="s">
        <v>373</v>
      </c>
      <c r="R253" s="7" t="s">
        <v>202</v>
      </c>
      <c r="S253">
        <v>4.98544E-2</v>
      </c>
      <c r="T253">
        <v>7.5531000000000001E-3</v>
      </c>
    </row>
    <row r="254" spans="1:20" ht="16">
      <c r="A254" t="s">
        <v>203</v>
      </c>
      <c r="B254">
        <f t="shared" si="10"/>
        <v>0.1516468</v>
      </c>
      <c r="C254">
        <f t="shared" si="11"/>
        <v>2.2963500000000001E-2</v>
      </c>
      <c r="H254" t="s">
        <v>374</v>
      </c>
      <c r="R254" s="7" t="s">
        <v>203</v>
      </c>
      <c r="S254">
        <v>0.1516468</v>
      </c>
      <c r="T254">
        <v>2.2963500000000001E-2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19">
      <c r="R257" t="s">
        <v>389</v>
      </c>
    </row>
    <row r="258" spans="2:19" ht="16">
      <c r="R258" s="7" t="s">
        <v>390</v>
      </c>
    </row>
    <row r="260" spans="2:19" ht="16">
      <c r="R260" s="7" t="s">
        <v>186</v>
      </c>
      <c r="S260" t="s">
        <v>184</v>
      </c>
    </row>
    <row r="261" spans="2:19" ht="16">
      <c r="R261" s="7" t="s">
        <v>444</v>
      </c>
      <c r="S261" t="s">
        <v>449</v>
      </c>
    </row>
    <row r="262" spans="2:19" ht="16">
      <c r="R262" s="7" t="s">
        <v>446</v>
      </c>
      <c r="S262" t="s">
        <v>184</v>
      </c>
    </row>
    <row r="263" spans="2:19" ht="16">
      <c r="B263">
        <f>S263</f>
        <v>0.21312600000000001</v>
      </c>
      <c r="C263">
        <f>S264</f>
        <v>0.296788</v>
      </c>
      <c r="R263" s="7" t="s">
        <v>447</v>
      </c>
      <c r="S263">
        <v>0.21312600000000001</v>
      </c>
    </row>
    <row r="264" spans="2:19" ht="16">
      <c r="R264" s="7" t="s">
        <v>448</v>
      </c>
      <c r="S264">
        <v>0.296788</v>
      </c>
    </row>
    <row r="265" spans="2:19" ht="16">
      <c r="R265" s="7" t="s">
        <v>186</v>
      </c>
      <c r="S265" t="s">
        <v>184</v>
      </c>
    </row>
    <row r="266" spans="2:19" ht="16">
      <c r="R266" s="7"/>
    </row>
    <row r="267" spans="2:19" ht="16">
      <c r="R267" s="7" t="s">
        <v>404</v>
      </c>
    </row>
    <row r="268" spans="2:19" ht="16">
      <c r="R268" s="7" t="s">
        <v>391</v>
      </c>
    </row>
    <row r="269" spans="2:19" ht="16">
      <c r="R269" s="7" t="s">
        <v>392</v>
      </c>
    </row>
    <row r="270" spans="2:19" ht="16">
      <c r="R270" s="7" t="s">
        <v>432</v>
      </c>
    </row>
    <row r="271" spans="2:19" ht="16">
      <c r="R271" s="7" t="s">
        <v>392</v>
      </c>
    </row>
    <row r="272" spans="2:19" ht="16">
      <c r="R272" s="7" t="s">
        <v>393</v>
      </c>
    </row>
    <row r="273" spans="18:18" ht="16">
      <c r="R273" s="7"/>
    </row>
    <row r="274" spans="18:18" ht="16">
      <c r="R274" s="7" t="s">
        <v>394</v>
      </c>
    </row>
    <row r="275" spans="18:18">
      <c r="R275" t="s">
        <v>395</v>
      </c>
    </row>
    <row r="276" spans="18:18" ht="16">
      <c r="R276" s="7" t="s">
        <v>396</v>
      </c>
    </row>
    <row r="277" spans="18:18">
      <c r="R277" t="s">
        <v>433</v>
      </c>
    </row>
    <row r="278" spans="18:18" ht="16">
      <c r="R278" s="7" t="s">
        <v>394</v>
      </c>
    </row>
    <row r="279" spans="18:18" ht="16">
      <c r="R279" s="7" t="s">
        <v>397</v>
      </c>
    </row>
    <row r="280" spans="18:18" ht="16">
      <c r="R280" s="7" t="s">
        <v>398</v>
      </c>
    </row>
    <row r="281" spans="18:18" ht="16">
      <c r="R281" s="7"/>
    </row>
    <row r="282" spans="18:18" ht="16">
      <c r="R282" s="7" t="s">
        <v>399</v>
      </c>
    </row>
    <row r="283" spans="18:18" ht="16">
      <c r="R283" s="7" t="s">
        <v>400</v>
      </c>
    </row>
    <row r="284" spans="18:18" ht="16">
      <c r="R284" s="7" t="s">
        <v>401</v>
      </c>
    </row>
    <row r="285" spans="18:18" ht="16">
      <c r="R285" s="7" t="s">
        <v>434</v>
      </c>
    </row>
    <row r="286" spans="18:18" ht="16">
      <c r="R286" s="7" t="s">
        <v>399</v>
      </c>
    </row>
    <row r="287" spans="18:18" ht="16">
      <c r="R287" s="7" t="s">
        <v>397</v>
      </c>
    </row>
    <row r="288" spans="18:18" ht="16">
      <c r="R288" s="7" t="s">
        <v>405</v>
      </c>
    </row>
    <row r="289" spans="2:20" ht="16">
      <c r="R289" s="7" t="s">
        <v>397</v>
      </c>
    </row>
    <row r="290" spans="2:20" ht="16">
      <c r="R290" s="7"/>
    </row>
    <row r="291" spans="2:20" ht="16">
      <c r="R291" s="7" t="s">
        <v>406</v>
      </c>
    </row>
    <row r="292" spans="2:20" ht="16">
      <c r="R292" s="7" t="s">
        <v>407</v>
      </c>
    </row>
    <row r="293" spans="2:20">
      <c r="R293" t="s">
        <v>408</v>
      </c>
    </row>
    <row r="294" spans="2:20" ht="16">
      <c r="R294" s="7" t="s">
        <v>435</v>
      </c>
    </row>
    <row r="295" spans="2:20">
      <c r="R295" t="s">
        <v>436</v>
      </c>
    </row>
    <row r="296" spans="2:20" ht="16">
      <c r="R296" s="7" t="s">
        <v>406</v>
      </c>
    </row>
    <row r="297" spans="2:20" ht="16">
      <c r="R297" s="7" t="s">
        <v>397</v>
      </c>
    </row>
    <row r="298" spans="2:20" ht="16">
      <c r="R298" s="7" t="s">
        <v>409</v>
      </c>
    </row>
    <row r="299" spans="2:20" ht="16">
      <c r="R299" s="7"/>
    </row>
    <row r="300" spans="2:20" ht="16">
      <c r="R300" s="7" t="s">
        <v>186</v>
      </c>
      <c r="S300" t="s">
        <v>450</v>
      </c>
      <c r="T300" t="s">
        <v>451</v>
      </c>
    </row>
    <row r="301" spans="2:20" ht="16">
      <c r="R301" s="7" t="s">
        <v>444</v>
      </c>
      <c r="S301" t="s">
        <v>452</v>
      </c>
      <c r="T301" t="s">
        <v>453</v>
      </c>
    </row>
    <row r="302" spans="2:20" ht="16">
      <c r="R302" s="7" t="s">
        <v>446</v>
      </c>
      <c r="S302" t="s">
        <v>450</v>
      </c>
      <c r="T302" t="s">
        <v>451</v>
      </c>
    </row>
    <row r="303" spans="2:20" ht="16">
      <c r="B303">
        <f>T303</f>
        <v>0.60909999999999997</v>
      </c>
      <c r="C303">
        <f>T304</f>
        <v>0.57184999999999997</v>
      </c>
      <c r="R303" s="7" t="s">
        <v>447</v>
      </c>
      <c r="S303">
        <v>2.8646099999999999</v>
      </c>
      <c r="T303">
        <v>0.60909999999999997</v>
      </c>
    </row>
    <row r="304" spans="2:20" ht="16">
      <c r="R304" s="7" t="s">
        <v>448</v>
      </c>
      <c r="S304">
        <v>1.9469000000000001</v>
      </c>
      <c r="T304">
        <v>0.57184999999999997</v>
      </c>
    </row>
    <row r="305" spans="18:20" ht="16">
      <c r="R305" s="7" t="s">
        <v>186</v>
      </c>
      <c r="S305" t="s">
        <v>450</v>
      </c>
      <c r="T305" t="s">
        <v>451</v>
      </c>
    </row>
    <row r="306" spans="18:20" ht="16">
      <c r="R306" s="7" t="s">
        <v>397</v>
      </c>
    </row>
    <row r="307" spans="18:20" ht="16">
      <c r="R307" s="7" t="s">
        <v>410</v>
      </c>
    </row>
    <row r="308" spans="18:20" ht="16">
      <c r="R308" s="7"/>
    </row>
    <row r="309" spans="18:20" ht="16">
      <c r="R309" s="7" t="s">
        <v>411</v>
      </c>
    </row>
    <row r="310" spans="18:20" ht="16">
      <c r="R310" s="7" t="s">
        <v>412</v>
      </c>
    </row>
    <row r="311" spans="18:20">
      <c r="R311" t="s">
        <v>413</v>
      </c>
    </row>
    <row r="312" spans="18:20" ht="16">
      <c r="R312" s="7" t="s">
        <v>437</v>
      </c>
    </row>
    <row r="313" spans="18:20">
      <c r="R313" t="s">
        <v>411</v>
      </c>
    </row>
    <row r="314" spans="18:20" ht="16">
      <c r="R314" s="7" t="s">
        <v>397</v>
      </c>
    </row>
    <row r="315" spans="18:20" ht="16">
      <c r="R315" s="7" t="s">
        <v>414</v>
      </c>
    </row>
    <row r="316" spans="18:20" ht="16">
      <c r="R316" s="7"/>
    </row>
    <row r="317" spans="18:20" ht="16">
      <c r="R317" s="7" t="s">
        <v>411</v>
      </c>
    </row>
    <row r="318" spans="18:20" ht="16">
      <c r="R318" s="7" t="s">
        <v>412</v>
      </c>
    </row>
    <row r="319" spans="18:20" ht="16">
      <c r="R319" s="7" t="s">
        <v>413</v>
      </c>
    </row>
    <row r="320" spans="18:20" ht="16">
      <c r="R320" s="7" t="s">
        <v>438</v>
      </c>
    </row>
    <row r="321" spans="2:20" ht="16">
      <c r="R321" s="7" t="s">
        <v>411</v>
      </c>
    </row>
    <row r="322" spans="2:20" ht="16">
      <c r="R322" s="7"/>
    </row>
    <row r="323" spans="2:20" ht="16">
      <c r="R323" s="7" t="s">
        <v>402</v>
      </c>
    </row>
    <row r="324" spans="2:20" ht="16">
      <c r="R324" s="7"/>
    </row>
    <row r="325" spans="2:20" ht="16">
      <c r="R325" s="7" t="s">
        <v>184</v>
      </c>
      <c r="S325" t="s">
        <v>185</v>
      </c>
      <c r="T325" t="s">
        <v>186</v>
      </c>
    </row>
    <row r="326" spans="2:20" ht="16">
      <c r="R326" s="7" t="s">
        <v>187</v>
      </c>
      <c r="S326" t="s">
        <v>188</v>
      </c>
      <c r="T326" t="s">
        <v>189</v>
      </c>
    </row>
    <row r="327" spans="2:20" ht="16">
      <c r="R327" s="7" t="s">
        <v>190</v>
      </c>
      <c r="S327" t="s">
        <v>191</v>
      </c>
      <c r="T327" t="s">
        <v>192</v>
      </c>
    </row>
    <row r="328" spans="2:20" ht="16">
      <c r="R328" s="7" t="s">
        <v>193</v>
      </c>
      <c r="S328" t="s">
        <v>185</v>
      </c>
      <c r="T328" t="s">
        <v>186</v>
      </c>
    </row>
    <row r="329" spans="2:20">
      <c r="B329">
        <f>S329</f>
        <v>5.0506019592285201</v>
      </c>
      <c r="C329">
        <f>T329</f>
        <v>5.19632768630981</v>
      </c>
      <c r="R329" t="s">
        <v>194</v>
      </c>
      <c r="S329">
        <v>5.0506019592285201</v>
      </c>
      <c r="T329">
        <v>5.19632768630981</v>
      </c>
    </row>
    <row r="330" spans="2:20" ht="16">
      <c r="B330">
        <f t="shared" ref="B330:B338" si="12">S330</f>
        <v>5.2339816093444798</v>
      </c>
      <c r="C330">
        <f t="shared" ref="C330:C338" si="13">T330</f>
        <v>5.5036354064941397</v>
      </c>
      <c r="R330" s="7" t="s">
        <v>195</v>
      </c>
      <c r="S330">
        <v>5.2339816093444798</v>
      </c>
      <c r="T330">
        <v>5.5036354064941397</v>
      </c>
    </row>
    <row r="331" spans="2:20" ht="16">
      <c r="B331">
        <f t="shared" si="12"/>
        <v>5.8770618438720703</v>
      </c>
      <c r="C331">
        <f t="shared" si="13"/>
        <v>5.4373612403869602</v>
      </c>
      <c r="R331" s="7" t="s">
        <v>196</v>
      </c>
      <c r="S331">
        <v>5.8770618438720703</v>
      </c>
      <c r="T331">
        <v>5.4373612403869602</v>
      </c>
    </row>
    <row r="332" spans="2:20">
      <c r="B332">
        <f t="shared" si="12"/>
        <v>5.3252429962158203</v>
      </c>
      <c r="C332">
        <f t="shared" si="13"/>
        <v>5.28395700454712</v>
      </c>
      <c r="R332" t="s">
        <v>197</v>
      </c>
      <c r="S332">
        <v>5.3252429962158203</v>
      </c>
      <c r="T332">
        <v>5.28395700454712</v>
      </c>
    </row>
    <row r="333" spans="2:20" ht="16">
      <c r="B333">
        <f t="shared" si="12"/>
        <v>5.0702538490295401</v>
      </c>
      <c r="C333">
        <f t="shared" si="13"/>
        <v>5.0649318695068404</v>
      </c>
      <c r="R333" s="7" t="s">
        <v>198</v>
      </c>
      <c r="S333">
        <v>5.0702538490295401</v>
      </c>
      <c r="T333">
        <v>5.0649318695068404</v>
      </c>
    </row>
    <row r="334" spans="2:20" ht="16">
      <c r="B334">
        <f t="shared" si="12"/>
        <v>5.4023141860961896</v>
      </c>
      <c r="C334">
        <f t="shared" si="13"/>
        <v>4.7538752555847203</v>
      </c>
      <c r="R334" s="7" t="s">
        <v>199</v>
      </c>
      <c r="S334">
        <v>5.4023141860961896</v>
      </c>
      <c r="T334">
        <v>4.7538752555847203</v>
      </c>
    </row>
    <row r="335" spans="2:20" ht="16">
      <c r="B335">
        <f t="shared" si="12"/>
        <v>5.3173508644104004</v>
      </c>
      <c r="C335">
        <f t="shared" si="13"/>
        <v>4.6542773246765101</v>
      </c>
      <c r="R335" s="7" t="s">
        <v>200</v>
      </c>
      <c r="S335">
        <v>5.3173508644104004</v>
      </c>
      <c r="T335">
        <v>4.6542773246765101</v>
      </c>
    </row>
    <row r="336" spans="2:20" ht="16">
      <c r="B336">
        <f t="shared" si="12"/>
        <v>5.0488567352294904</v>
      </c>
      <c r="C336">
        <f t="shared" si="13"/>
        <v>4.6872053146362296</v>
      </c>
      <c r="R336" s="7" t="s">
        <v>201</v>
      </c>
      <c r="S336">
        <v>5.0488567352294904</v>
      </c>
      <c r="T336">
        <v>4.6872053146362296</v>
      </c>
    </row>
    <row r="337" spans="2:21" ht="16">
      <c r="B337">
        <f t="shared" si="12"/>
        <v>4.8092889785766602</v>
      </c>
      <c r="C337">
        <f t="shared" si="13"/>
        <v>4.4315657615661603</v>
      </c>
      <c r="R337" s="7" t="s">
        <v>202</v>
      </c>
      <c r="S337">
        <v>4.8092889785766602</v>
      </c>
      <c r="T337">
        <v>4.4315657615661603</v>
      </c>
    </row>
    <row r="338" spans="2:21" ht="16">
      <c r="B338">
        <f t="shared" si="12"/>
        <v>4.7758874893188503</v>
      </c>
      <c r="C338">
        <f t="shared" si="13"/>
        <v>3.9263348579406698</v>
      </c>
      <c r="R338" s="7" t="s">
        <v>203</v>
      </c>
      <c r="S338">
        <v>4.7758874893188503</v>
      </c>
      <c r="T338">
        <v>3.9263348579406698</v>
      </c>
    </row>
    <row r="339" spans="2:21">
      <c r="R339" t="s">
        <v>184</v>
      </c>
      <c r="S339" t="s">
        <v>185</v>
      </c>
      <c r="T339" t="s">
        <v>186</v>
      </c>
    </row>
    <row r="340" spans="2:21" ht="16">
      <c r="R340" s="7"/>
    </row>
    <row r="341" spans="2:21" ht="16">
      <c r="R341" s="7" t="s">
        <v>180</v>
      </c>
      <c r="S341" t="s">
        <v>415</v>
      </c>
      <c r="T341" t="s">
        <v>439</v>
      </c>
      <c r="U341" t="s">
        <v>440</v>
      </c>
    </row>
    <row r="342" spans="2:21" ht="16">
      <c r="R342" s="7"/>
    </row>
    <row r="343" spans="2:21" ht="16">
      <c r="R343" s="7" t="s">
        <v>184</v>
      </c>
      <c r="S343" t="s">
        <v>185</v>
      </c>
      <c r="T343" t="s">
        <v>186</v>
      </c>
    </row>
    <row r="344" spans="2:21" ht="16">
      <c r="R344" s="7" t="s">
        <v>187</v>
      </c>
      <c r="S344" t="s">
        <v>188</v>
      </c>
      <c r="T344" t="s">
        <v>189</v>
      </c>
    </row>
    <row r="345" spans="2:21" ht="16">
      <c r="R345" s="7" t="s">
        <v>190</v>
      </c>
      <c r="S345" t="s">
        <v>191</v>
      </c>
      <c r="T345" t="s">
        <v>192</v>
      </c>
    </row>
    <row r="346" spans="2:21">
      <c r="R346" t="s">
        <v>193</v>
      </c>
      <c r="S346" t="s">
        <v>185</v>
      </c>
      <c r="T346" t="s">
        <v>186</v>
      </c>
    </row>
    <row r="347" spans="2:21" ht="16">
      <c r="B347" s="5">
        <f>S347</f>
        <v>461492.3</v>
      </c>
      <c r="C347" s="5">
        <f>T347</f>
        <v>254397.4</v>
      </c>
      <c r="R347" s="7" t="s">
        <v>194</v>
      </c>
      <c r="S347">
        <v>461492.3</v>
      </c>
      <c r="T347">
        <v>254397.4</v>
      </c>
    </row>
    <row r="348" spans="2:21" ht="16">
      <c r="B348" s="5">
        <f t="shared" ref="B348:B356" si="14">S348</f>
        <v>327890</v>
      </c>
      <c r="C348" s="5">
        <f t="shared" ref="C348:C356" si="15">T348</f>
        <v>196692.9</v>
      </c>
      <c r="R348" s="7" t="s">
        <v>195</v>
      </c>
      <c r="S348">
        <v>327890</v>
      </c>
      <c r="T348">
        <v>196692.9</v>
      </c>
    </row>
    <row r="349" spans="2:21" ht="16">
      <c r="B349" s="5">
        <f t="shared" si="14"/>
        <v>351305.6</v>
      </c>
      <c r="C349" s="5">
        <f t="shared" si="15"/>
        <v>227253.3</v>
      </c>
      <c r="R349" s="7" t="s">
        <v>196</v>
      </c>
      <c r="S349">
        <v>351305.6</v>
      </c>
      <c r="T349">
        <v>227253.3</v>
      </c>
    </row>
    <row r="350" spans="2:21" ht="16">
      <c r="B350" s="5">
        <f t="shared" si="14"/>
        <v>361451.1</v>
      </c>
      <c r="C350" s="5">
        <f t="shared" si="15"/>
        <v>263776</v>
      </c>
      <c r="R350" s="7" t="s">
        <v>197</v>
      </c>
      <c r="S350">
        <v>361451.1</v>
      </c>
      <c r="T350">
        <v>263776</v>
      </c>
    </row>
    <row r="351" spans="2:21" ht="16">
      <c r="B351" s="5">
        <f t="shared" si="14"/>
        <v>436003.4</v>
      </c>
      <c r="C351" s="5">
        <f t="shared" si="15"/>
        <v>294569.09999999998</v>
      </c>
      <c r="R351" s="7" t="s">
        <v>198</v>
      </c>
      <c r="S351">
        <v>436003.4</v>
      </c>
      <c r="T351">
        <v>294569.09999999998</v>
      </c>
    </row>
    <row r="352" spans="2:21" ht="16">
      <c r="B352" s="5">
        <f t="shared" si="14"/>
        <v>439913.1</v>
      </c>
      <c r="C352" s="5">
        <f t="shared" si="15"/>
        <v>327702.8</v>
      </c>
      <c r="R352" s="7" t="s">
        <v>199</v>
      </c>
      <c r="S352">
        <v>439913.1</v>
      </c>
      <c r="T352">
        <v>327702.8</v>
      </c>
    </row>
    <row r="353" spans="2:21" ht="16">
      <c r="B353" s="5">
        <f t="shared" si="14"/>
        <v>530831.1</v>
      </c>
      <c r="C353" s="5">
        <f t="shared" si="15"/>
        <v>379168.3</v>
      </c>
      <c r="R353" s="7" t="s">
        <v>200</v>
      </c>
      <c r="S353">
        <v>530831.1</v>
      </c>
      <c r="T353">
        <v>379168.3</v>
      </c>
    </row>
    <row r="354" spans="2:21">
      <c r="B354" s="5">
        <f t="shared" si="14"/>
        <v>524768.80000000005</v>
      </c>
      <c r="C354" s="5">
        <f t="shared" si="15"/>
        <v>446945.2</v>
      </c>
      <c r="R354" t="s">
        <v>201</v>
      </c>
      <c r="S354">
        <v>524768.80000000005</v>
      </c>
      <c r="T354">
        <v>446945.2</v>
      </c>
    </row>
    <row r="355" spans="2:21" ht="16">
      <c r="B355" s="5">
        <f t="shared" si="14"/>
        <v>764754.3</v>
      </c>
      <c r="C355" s="5">
        <f t="shared" si="15"/>
        <v>567239.30000000005</v>
      </c>
      <c r="R355" s="7" t="s">
        <v>202</v>
      </c>
      <c r="S355">
        <v>764754.3</v>
      </c>
      <c r="T355">
        <v>567239.30000000005</v>
      </c>
    </row>
    <row r="356" spans="2:21" ht="16">
      <c r="B356" s="5">
        <f t="shared" si="14"/>
        <v>1233207</v>
      </c>
      <c r="C356" s="5">
        <f t="shared" si="15"/>
        <v>1205326</v>
      </c>
      <c r="R356" s="7" t="s">
        <v>203</v>
      </c>
      <c r="S356">
        <v>1233207</v>
      </c>
      <c r="T356">
        <v>1205326</v>
      </c>
    </row>
    <row r="357" spans="2:21" ht="16">
      <c r="R357" s="7" t="s">
        <v>184</v>
      </c>
      <c r="S357" t="s">
        <v>185</v>
      </c>
      <c r="T357" t="s">
        <v>186</v>
      </c>
    </row>
    <row r="358" spans="2:21" ht="16">
      <c r="R358" s="7"/>
    </row>
    <row r="359" spans="2:21" ht="16">
      <c r="R359" s="7" t="s">
        <v>180</v>
      </c>
      <c r="S359" t="s">
        <v>415</v>
      </c>
      <c r="T359" t="s">
        <v>441</v>
      </c>
      <c r="U359" t="s">
        <v>442</v>
      </c>
    </row>
    <row r="360" spans="2:21" ht="16">
      <c r="R360" s="7"/>
    </row>
    <row r="361" spans="2:21" ht="16">
      <c r="R361" s="7" t="s">
        <v>184</v>
      </c>
      <c r="S361" t="s">
        <v>185</v>
      </c>
      <c r="T361" t="s">
        <v>186</v>
      </c>
    </row>
    <row r="362" spans="2:21" ht="16">
      <c r="R362" s="7" t="s">
        <v>187</v>
      </c>
      <c r="S362" t="s">
        <v>188</v>
      </c>
      <c r="T362" t="s">
        <v>189</v>
      </c>
    </row>
    <row r="363" spans="2:21">
      <c r="R363" t="s">
        <v>190</v>
      </c>
      <c r="S363" t="s">
        <v>191</v>
      </c>
      <c r="T363" t="s">
        <v>192</v>
      </c>
    </row>
    <row r="364" spans="2:21" ht="16">
      <c r="R364" s="7" t="s">
        <v>193</v>
      </c>
      <c r="S364" t="s">
        <v>185</v>
      </c>
      <c r="T364" t="s">
        <v>186</v>
      </c>
    </row>
    <row r="365" spans="2:21" ht="16">
      <c r="B365">
        <f>S365</f>
        <v>13322.64</v>
      </c>
      <c r="C365">
        <f>T365</f>
        <v>18621.84</v>
      </c>
      <c r="R365" s="7" t="s">
        <v>194</v>
      </c>
      <c r="S365">
        <v>13322.64</v>
      </c>
      <c r="T365">
        <v>18621.84</v>
      </c>
    </row>
    <row r="366" spans="2:21" ht="16">
      <c r="B366">
        <f t="shared" ref="B366:B374" si="16">S366</f>
        <v>76945.039999999994</v>
      </c>
      <c r="C366">
        <f t="shared" ref="C366:C374" si="17">T366</f>
        <v>75109.2</v>
      </c>
      <c r="R366" s="7" t="s">
        <v>195</v>
      </c>
      <c r="S366">
        <v>76945.039999999994</v>
      </c>
      <c r="T366">
        <v>75109.2</v>
      </c>
    </row>
    <row r="367" spans="2:21" ht="16">
      <c r="B367">
        <f t="shared" si="16"/>
        <v>121363</v>
      </c>
      <c r="C367">
        <f t="shared" si="17"/>
        <v>121986</v>
      </c>
      <c r="R367" s="7" t="s">
        <v>196</v>
      </c>
      <c r="S367">
        <v>121363</v>
      </c>
      <c r="T367">
        <v>121986</v>
      </c>
    </row>
    <row r="368" spans="2:21" ht="16">
      <c r="B368">
        <f t="shared" si="16"/>
        <v>163824.4</v>
      </c>
      <c r="C368">
        <f t="shared" si="17"/>
        <v>162561.70000000001</v>
      </c>
      <c r="R368" s="7" t="s">
        <v>197</v>
      </c>
      <c r="S368">
        <v>163824.4</v>
      </c>
      <c r="T368">
        <v>162561.70000000001</v>
      </c>
    </row>
    <row r="369" spans="2:20" ht="16">
      <c r="B369">
        <f t="shared" si="16"/>
        <v>223234.6</v>
      </c>
      <c r="C369">
        <f t="shared" si="17"/>
        <v>216604.4</v>
      </c>
      <c r="R369" s="7" t="s">
        <v>198</v>
      </c>
      <c r="S369">
        <v>223234.6</v>
      </c>
      <c r="T369">
        <v>216604.4</v>
      </c>
    </row>
    <row r="370" spans="2:20" ht="16">
      <c r="B370">
        <f t="shared" si="16"/>
        <v>277197.2</v>
      </c>
      <c r="C370">
        <f t="shared" si="17"/>
        <v>280133.7</v>
      </c>
      <c r="R370" s="7" t="s">
        <v>199</v>
      </c>
      <c r="S370">
        <v>277197.2</v>
      </c>
      <c r="T370">
        <v>280133.7</v>
      </c>
    </row>
    <row r="371" spans="2:20" ht="16">
      <c r="B371">
        <f t="shared" si="16"/>
        <v>363261.6</v>
      </c>
      <c r="C371">
        <f t="shared" si="17"/>
        <v>366569.8</v>
      </c>
      <c r="R371" s="7" t="s">
        <v>200</v>
      </c>
      <c r="S371">
        <v>363261.6</v>
      </c>
      <c r="T371">
        <v>366569.8</v>
      </c>
    </row>
    <row r="372" spans="2:20">
      <c r="B372">
        <f t="shared" si="16"/>
        <v>488339.3</v>
      </c>
      <c r="C372">
        <f t="shared" si="17"/>
        <v>490163.6</v>
      </c>
      <c r="R372" t="s">
        <v>201</v>
      </c>
      <c r="S372">
        <v>488339.3</v>
      </c>
      <c r="T372">
        <v>490163.6</v>
      </c>
    </row>
    <row r="373" spans="2:20" ht="16">
      <c r="B373">
        <f t="shared" si="16"/>
        <v>734491.1</v>
      </c>
      <c r="C373">
        <f t="shared" si="17"/>
        <v>750643.7</v>
      </c>
      <c r="R373" s="7" t="s">
        <v>202</v>
      </c>
      <c r="S373">
        <v>734491.1</v>
      </c>
      <c r="T373">
        <v>750643.7</v>
      </c>
    </row>
    <row r="374" spans="2:20" ht="16">
      <c r="B374">
        <f t="shared" si="16"/>
        <v>2278257</v>
      </c>
      <c r="C374">
        <f t="shared" si="17"/>
        <v>2039937</v>
      </c>
      <c r="R374" s="7" t="s">
        <v>203</v>
      </c>
      <c r="S374">
        <v>2278257</v>
      </c>
      <c r="T374">
        <v>2039937</v>
      </c>
    </row>
    <row r="375" spans="2:20" ht="16">
      <c r="R375" s="7" t="s">
        <v>184</v>
      </c>
      <c r="S375" t="s">
        <v>185</v>
      </c>
      <c r="T375" t="s">
        <v>186</v>
      </c>
    </row>
    <row r="376" spans="2:20" ht="16">
      <c r="R376" s="7"/>
    </row>
    <row r="377" spans="2:20" ht="16">
      <c r="R377" s="7" t="s">
        <v>403</v>
      </c>
    </row>
    <row r="378" spans="2:20" ht="16">
      <c r="R378" s="7"/>
    </row>
    <row r="379" spans="2:20" ht="16">
      <c r="R379" s="7" t="s">
        <v>186</v>
      </c>
      <c r="S379" t="s">
        <v>443</v>
      </c>
    </row>
    <row r="380" spans="2:20" ht="16">
      <c r="R380" s="7" t="s">
        <v>444</v>
      </c>
      <c r="S380" t="s">
        <v>445</v>
      </c>
    </row>
    <row r="381" spans="2:20">
      <c r="R381" t="s">
        <v>446</v>
      </c>
      <c r="S381" t="s">
        <v>443</v>
      </c>
    </row>
    <row r="382" spans="2:20" ht="16">
      <c r="B382">
        <f>S382</f>
        <v>2.67354</v>
      </c>
      <c r="C382">
        <f>S383</f>
        <v>2.5219870000000002</v>
      </c>
      <c r="R382" s="7" t="s">
        <v>447</v>
      </c>
      <c r="S382">
        <v>2.67354</v>
      </c>
    </row>
    <row r="383" spans="2:20" ht="16">
      <c r="R383" s="7" t="s">
        <v>448</v>
      </c>
      <c r="S383">
        <v>2.5219870000000002</v>
      </c>
    </row>
    <row r="384" spans="2:20" ht="16">
      <c r="R384" s="7" t="s">
        <v>186</v>
      </c>
      <c r="S384" t="s">
        <v>443</v>
      </c>
    </row>
    <row r="385" spans="18:18" ht="16">
      <c r="R385" s="7"/>
    </row>
    <row r="386" spans="18:18" ht="16">
      <c r="R386" s="7"/>
    </row>
    <row r="387" spans="18:18" ht="16">
      <c r="R387" s="7"/>
    </row>
    <row r="388" spans="18:18" ht="16">
      <c r="R388" s="7"/>
    </row>
    <row r="390" spans="18:18" ht="16">
      <c r="R390" s="7"/>
    </row>
    <row r="391" spans="18:18" ht="16">
      <c r="R391" s="7"/>
    </row>
    <row r="392" spans="18:18" ht="16">
      <c r="R392" s="7"/>
    </row>
    <row r="393" spans="18:18" ht="16">
      <c r="R393" s="7"/>
    </row>
    <row r="394" spans="18:18" ht="16">
      <c r="R394" s="7"/>
    </row>
    <row r="396" spans="18:18" ht="16">
      <c r="R396" s="7"/>
    </row>
    <row r="398" spans="18:18" ht="16">
      <c r="R398" s="7"/>
    </row>
    <row r="399" spans="18:18" ht="16">
      <c r="R399" s="7"/>
    </row>
    <row r="400" spans="18:18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7" spans="18:18" ht="16">
      <c r="R407" s="7"/>
    </row>
    <row r="408" spans="18:18" ht="16">
      <c r="R408" s="7"/>
    </row>
    <row r="409" spans="18:18" ht="16">
      <c r="R409" s="7"/>
    </row>
    <row r="410" spans="18:18" ht="16">
      <c r="R410" s="7"/>
    </row>
    <row r="411" spans="18:18" ht="16">
      <c r="R411" s="7"/>
    </row>
    <row r="412" spans="18:18" ht="16">
      <c r="R412" s="7"/>
    </row>
    <row r="414" spans="18:18" ht="16">
      <c r="R414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5" spans="18:18" ht="16">
      <c r="R425" s="7"/>
    </row>
    <row r="426" spans="18:18" ht="16">
      <c r="R426" s="7"/>
    </row>
    <row r="427" spans="18:18" ht="16">
      <c r="R427" s="7"/>
    </row>
    <row r="428" spans="18:18" ht="16">
      <c r="R428" s="7"/>
    </row>
    <row r="429" spans="18:18" ht="16">
      <c r="R429" s="7"/>
    </row>
    <row r="430" spans="18:18" ht="16">
      <c r="R430" s="7"/>
    </row>
    <row r="432" spans="18:18" ht="16">
      <c r="R432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3" spans="18:18" ht="16">
      <c r="R443" s="7"/>
    </row>
    <row r="444" spans="18:18" ht="16">
      <c r="R444" s="7"/>
    </row>
    <row r="445" spans="18:18" ht="16">
      <c r="R445" s="7"/>
    </row>
    <row r="446" spans="18:18" ht="16">
      <c r="R446" s="7"/>
    </row>
    <row r="447" spans="18:18" ht="16">
      <c r="R447" s="7"/>
    </row>
    <row r="448" spans="18:18" ht="16">
      <c r="R448" s="7"/>
    </row>
    <row r="450" spans="18:18" ht="16">
      <c r="R450" s="7"/>
    </row>
    <row r="452" spans="18:18" ht="16">
      <c r="R452" s="7"/>
    </row>
    <row r="453" spans="18:18" ht="16">
      <c r="R453" s="7"/>
    </row>
    <row r="454" spans="18:18" ht="16">
      <c r="R454" s="7"/>
    </row>
    <row r="455" spans="18:18" ht="16">
      <c r="R455" s="7"/>
    </row>
    <row r="456" spans="18:18" ht="16">
      <c r="R456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6865D8-F05B-48E8-AB81-85544173BB38}">
  <ds:schemaRefs>
    <ds:schemaRef ds:uri="http://schemas.microsoft.com/office/2006/documentManagement/types"/>
    <ds:schemaRef ds:uri="4cad42aa-992b-4afa-997c-54de5ba4a73b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9f6a24d1-3ff2-402b-b3e6-d032d73fb67d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
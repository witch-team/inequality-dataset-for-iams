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lerba\OneDrive - German Institute of Development and Sustainability (IDOS)\data johannes\"/>
    </mc:Choice>
  </mc:AlternateContent>
  <bookViews>
    <workbookView xWindow="0" yWindow="0" windowWidth="19200" windowHeight="6470"/>
  </bookViews>
  <sheets>
    <sheet name="India" sheetId="1" r:id="rId1"/>
    <sheet name="Sheet2" sheetId="2" r:id="rId2"/>
  </sheets>
  <externalReferences>
    <externalReference r:id="rId3"/>
    <externalReference r:id="rId4"/>
  </externalReferences>
  <definedNames>
    <definedName name="_xlnm._FilterDatabase" localSheetId="0" hidden="1">India!$A$1:$AF$1116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794" i="1" l="1"/>
  <c r="L795" i="1"/>
  <c r="L796" i="1"/>
  <c r="L793" i="1"/>
  <c r="P796" i="1"/>
  <c r="P795" i="1"/>
  <c r="P794" i="1"/>
  <c r="P793" i="1"/>
  <c r="L792" i="1"/>
  <c r="L876" i="1"/>
  <c r="L875" i="1"/>
  <c r="L874" i="1"/>
  <c r="L873" i="1"/>
  <c r="L872" i="1"/>
  <c r="L871" i="1"/>
  <c r="L870" i="1"/>
  <c r="L869" i="1"/>
  <c r="L868" i="1"/>
  <c r="L867" i="1"/>
  <c r="L866" i="1"/>
  <c r="L865" i="1"/>
  <c r="L864" i="1"/>
  <c r="L863" i="1"/>
  <c r="L862" i="1"/>
  <c r="L861" i="1"/>
  <c r="L860" i="1"/>
  <c r="L859" i="1"/>
  <c r="L858" i="1"/>
  <c r="L857" i="1"/>
  <c r="L856" i="1"/>
  <c r="L855" i="1"/>
  <c r="L854" i="1"/>
  <c r="L853" i="1"/>
  <c r="L852" i="1"/>
  <c r="L851" i="1"/>
  <c r="L850" i="1"/>
  <c r="L849" i="1"/>
  <c r="L848" i="1"/>
  <c r="L847" i="1"/>
  <c r="L846" i="1"/>
  <c r="L845" i="1"/>
  <c r="L844" i="1"/>
  <c r="L843" i="1"/>
  <c r="L842" i="1"/>
  <c r="L841" i="1"/>
  <c r="L840" i="1"/>
  <c r="L839" i="1"/>
  <c r="L838" i="1"/>
  <c r="L837" i="1"/>
  <c r="P838" i="1"/>
  <c r="Q838" i="1"/>
  <c r="R838" i="1"/>
  <c r="S838" i="1"/>
  <c r="P839" i="1"/>
  <c r="Q839" i="1"/>
  <c r="R839" i="1"/>
  <c r="S839" i="1"/>
  <c r="P840" i="1"/>
  <c r="Q840" i="1"/>
  <c r="R840" i="1"/>
  <c r="S840" i="1"/>
  <c r="P841" i="1"/>
  <c r="Q841" i="1"/>
  <c r="R841" i="1"/>
  <c r="S841" i="1"/>
  <c r="P842" i="1"/>
  <c r="Q842" i="1"/>
  <c r="R842" i="1"/>
  <c r="S842" i="1"/>
  <c r="P843" i="1"/>
  <c r="Q843" i="1"/>
  <c r="R843" i="1"/>
  <c r="S843" i="1"/>
  <c r="P844" i="1"/>
  <c r="Q844" i="1"/>
  <c r="R844" i="1"/>
  <c r="S844" i="1"/>
  <c r="P845" i="1"/>
  <c r="Q845" i="1"/>
  <c r="R845" i="1"/>
  <c r="S845" i="1"/>
  <c r="P846" i="1"/>
  <c r="Q846" i="1"/>
  <c r="R846" i="1"/>
  <c r="S846" i="1"/>
  <c r="Q837" i="1"/>
  <c r="R837" i="1"/>
  <c r="S837" i="1"/>
  <c r="P837" i="1"/>
  <c r="Q8" i="1"/>
  <c r="S723" i="1" l="1"/>
  <c r="T723" i="1"/>
  <c r="S724" i="1"/>
  <c r="T724" i="1"/>
  <c r="S725" i="1"/>
  <c r="T725" i="1"/>
  <c r="S726" i="1"/>
  <c r="T726" i="1"/>
  <c r="S727" i="1"/>
  <c r="T727" i="1"/>
  <c r="S728" i="1"/>
  <c r="T728" i="1"/>
  <c r="S729" i="1"/>
  <c r="T729" i="1"/>
  <c r="S730" i="1"/>
  <c r="T730" i="1"/>
  <c r="S731" i="1"/>
  <c r="T731" i="1"/>
  <c r="T722" i="1"/>
  <c r="S722" i="1"/>
  <c r="L723" i="1"/>
  <c r="L783" i="1"/>
  <c r="L784" i="1"/>
  <c r="L785" i="1"/>
  <c r="L786" i="1"/>
  <c r="L787" i="1"/>
  <c r="L788" i="1"/>
  <c r="L789" i="1"/>
  <c r="L790" i="1"/>
  <c r="L791" i="1"/>
  <c r="L782" i="1"/>
  <c r="L836" i="1"/>
  <c r="L835" i="1"/>
  <c r="L834" i="1"/>
  <c r="L833" i="1"/>
  <c r="L832" i="1"/>
  <c r="L831" i="1"/>
  <c r="L830" i="1"/>
  <c r="L829" i="1"/>
  <c r="L828" i="1"/>
  <c r="L827" i="1"/>
  <c r="L826" i="1"/>
  <c r="L825" i="1"/>
  <c r="L824" i="1"/>
  <c r="L823" i="1"/>
  <c r="L822" i="1"/>
  <c r="L821" i="1"/>
  <c r="L820" i="1"/>
  <c r="L819" i="1"/>
  <c r="L818" i="1"/>
  <c r="L817" i="1"/>
  <c r="L816" i="1"/>
  <c r="L815" i="1"/>
  <c r="L814" i="1"/>
  <c r="L813" i="1"/>
  <c r="L812" i="1"/>
  <c r="L811" i="1"/>
  <c r="L810" i="1"/>
  <c r="L809" i="1"/>
  <c r="L808" i="1"/>
  <c r="L807" i="1"/>
  <c r="L806" i="1"/>
  <c r="L805" i="1"/>
  <c r="L804" i="1"/>
  <c r="L803" i="1"/>
  <c r="L802" i="1"/>
  <c r="L801" i="1"/>
  <c r="L800" i="1"/>
  <c r="L799" i="1"/>
  <c r="L798" i="1"/>
  <c r="L797" i="1"/>
  <c r="Q798" i="1"/>
  <c r="R798" i="1"/>
  <c r="S798" i="1"/>
  <c r="T798" i="1"/>
  <c r="Q799" i="1"/>
  <c r="R799" i="1"/>
  <c r="S799" i="1"/>
  <c r="T799" i="1"/>
  <c r="Q800" i="1"/>
  <c r="R800" i="1"/>
  <c r="S800" i="1"/>
  <c r="T800" i="1"/>
  <c r="Q801" i="1"/>
  <c r="R801" i="1"/>
  <c r="S801" i="1"/>
  <c r="T801" i="1"/>
  <c r="Q802" i="1"/>
  <c r="R802" i="1"/>
  <c r="S802" i="1"/>
  <c r="T802" i="1"/>
  <c r="Q803" i="1"/>
  <c r="R803" i="1"/>
  <c r="S803" i="1"/>
  <c r="T803" i="1"/>
  <c r="Q804" i="1"/>
  <c r="R804" i="1"/>
  <c r="S804" i="1"/>
  <c r="T804" i="1"/>
  <c r="Q805" i="1"/>
  <c r="R805" i="1"/>
  <c r="S805" i="1"/>
  <c r="T805" i="1"/>
  <c r="Q806" i="1"/>
  <c r="R806" i="1"/>
  <c r="S806" i="1"/>
  <c r="T806" i="1"/>
  <c r="R797" i="1"/>
  <c r="S797" i="1"/>
  <c r="T797" i="1"/>
  <c r="Q797" i="1"/>
  <c r="L781" i="1"/>
  <c r="L780" i="1"/>
  <c r="L779" i="1"/>
  <c r="L778" i="1"/>
  <c r="L777" i="1"/>
  <c r="L776" i="1"/>
  <c r="L775" i="1"/>
  <c r="L774" i="1"/>
  <c r="L773" i="1"/>
  <c r="L772" i="1"/>
  <c r="L771" i="1"/>
  <c r="L770" i="1"/>
  <c r="L769" i="1"/>
  <c r="L768" i="1"/>
  <c r="L767" i="1"/>
  <c r="L766" i="1"/>
  <c r="L765" i="1"/>
  <c r="L764" i="1"/>
  <c r="L763" i="1"/>
  <c r="L762" i="1"/>
  <c r="L761" i="1"/>
  <c r="L760" i="1"/>
  <c r="L759" i="1"/>
  <c r="L758" i="1"/>
  <c r="L757" i="1"/>
  <c r="L756" i="1"/>
  <c r="L755" i="1"/>
  <c r="L754" i="1"/>
  <c r="L753" i="1"/>
  <c r="L752" i="1"/>
  <c r="L751" i="1"/>
  <c r="L750" i="1"/>
  <c r="L749" i="1"/>
  <c r="L748" i="1"/>
  <c r="L747" i="1"/>
  <c r="L746" i="1"/>
  <c r="L745" i="1"/>
  <c r="L744" i="1"/>
  <c r="L743" i="1"/>
  <c r="L742" i="1"/>
  <c r="P743" i="1"/>
  <c r="Q743" i="1"/>
  <c r="R743" i="1"/>
  <c r="S743" i="1"/>
  <c r="P744" i="1"/>
  <c r="Q744" i="1"/>
  <c r="R744" i="1"/>
  <c r="S744" i="1"/>
  <c r="P745" i="1"/>
  <c r="Q745" i="1"/>
  <c r="R745" i="1"/>
  <c r="S745" i="1"/>
  <c r="P746" i="1"/>
  <c r="Q746" i="1"/>
  <c r="R746" i="1"/>
  <c r="S746" i="1"/>
  <c r="P747" i="1"/>
  <c r="Q747" i="1"/>
  <c r="R747" i="1"/>
  <c r="S747" i="1"/>
  <c r="P748" i="1"/>
  <c r="Q748" i="1"/>
  <c r="R748" i="1"/>
  <c r="S748" i="1"/>
  <c r="P749" i="1"/>
  <c r="Q749" i="1"/>
  <c r="R749" i="1"/>
  <c r="S749" i="1"/>
  <c r="P750" i="1"/>
  <c r="Q750" i="1"/>
  <c r="R750" i="1"/>
  <c r="S750" i="1"/>
  <c r="P751" i="1"/>
  <c r="Q751" i="1"/>
  <c r="R751" i="1"/>
  <c r="S751" i="1"/>
  <c r="Q742" i="1"/>
  <c r="R742" i="1"/>
  <c r="S742" i="1"/>
  <c r="P742" i="1"/>
  <c r="L732" i="1"/>
  <c r="L729" i="1"/>
  <c r="L727" i="1"/>
  <c r="L722" i="1"/>
  <c r="L725" i="1"/>
  <c r="L731" i="1"/>
  <c r="L733" i="1"/>
  <c r="L735" i="1"/>
  <c r="L737" i="1"/>
  <c r="L739" i="1"/>
  <c r="L741" i="1"/>
  <c r="L724" i="1"/>
  <c r="L726" i="1"/>
  <c r="L728" i="1"/>
  <c r="L730" i="1"/>
  <c r="L734" i="1"/>
  <c r="L736" i="1"/>
  <c r="L738" i="1"/>
  <c r="L740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  <c r="P283" i="1"/>
  <c r="Q283" i="1"/>
  <c r="R283" i="1"/>
  <c r="S283" i="1"/>
  <c r="P284" i="1"/>
  <c r="Q284" i="1"/>
  <c r="R284" i="1"/>
  <c r="S284" i="1"/>
  <c r="P285" i="1"/>
  <c r="Q285" i="1"/>
  <c r="R285" i="1"/>
  <c r="S285" i="1"/>
  <c r="P286" i="1"/>
  <c r="Q286" i="1"/>
  <c r="R286" i="1"/>
  <c r="S286" i="1"/>
  <c r="P287" i="1"/>
  <c r="Q287" i="1"/>
  <c r="R287" i="1"/>
  <c r="S287" i="1"/>
  <c r="P288" i="1"/>
  <c r="Q288" i="1"/>
  <c r="R288" i="1"/>
  <c r="S288" i="1"/>
  <c r="P289" i="1"/>
  <c r="Q289" i="1"/>
  <c r="R289" i="1"/>
  <c r="S289" i="1"/>
  <c r="P290" i="1"/>
  <c r="Q290" i="1"/>
  <c r="R290" i="1"/>
  <c r="S290" i="1"/>
  <c r="P291" i="1"/>
  <c r="Q291" i="1"/>
  <c r="R291" i="1"/>
  <c r="S291" i="1"/>
  <c r="Q282" i="1"/>
  <c r="R282" i="1"/>
  <c r="S282" i="1"/>
  <c r="P282" i="1"/>
  <c r="P243" i="1"/>
  <c r="Q243" i="1"/>
  <c r="R243" i="1"/>
  <c r="S243" i="1"/>
  <c r="P244" i="1"/>
  <c r="Q244" i="1"/>
  <c r="R244" i="1"/>
  <c r="S244" i="1"/>
  <c r="P245" i="1"/>
  <c r="Q245" i="1"/>
  <c r="R245" i="1"/>
  <c r="S245" i="1"/>
  <c r="P246" i="1"/>
  <c r="Q246" i="1"/>
  <c r="R246" i="1"/>
  <c r="S246" i="1"/>
  <c r="P247" i="1"/>
  <c r="Q247" i="1"/>
  <c r="R247" i="1"/>
  <c r="S247" i="1"/>
  <c r="P248" i="1"/>
  <c r="Q248" i="1"/>
  <c r="R248" i="1"/>
  <c r="S248" i="1"/>
  <c r="P249" i="1"/>
  <c r="Q249" i="1"/>
  <c r="R249" i="1"/>
  <c r="S249" i="1"/>
  <c r="P250" i="1"/>
  <c r="Q250" i="1"/>
  <c r="R250" i="1"/>
  <c r="S250" i="1"/>
  <c r="P251" i="1"/>
  <c r="Q251" i="1"/>
  <c r="R251" i="1"/>
  <c r="S251" i="1"/>
  <c r="Q242" i="1"/>
  <c r="R242" i="1"/>
  <c r="S242" i="1"/>
  <c r="P242" i="1"/>
  <c r="P203" i="1"/>
  <c r="Q203" i="1"/>
  <c r="R203" i="1"/>
  <c r="S203" i="1"/>
  <c r="P204" i="1"/>
  <c r="Q204" i="1"/>
  <c r="R204" i="1"/>
  <c r="S204" i="1"/>
  <c r="P205" i="1"/>
  <c r="Q205" i="1"/>
  <c r="R205" i="1"/>
  <c r="S205" i="1"/>
  <c r="P206" i="1"/>
  <c r="Q206" i="1"/>
  <c r="R206" i="1"/>
  <c r="S206" i="1"/>
  <c r="P207" i="1"/>
  <c r="Q207" i="1"/>
  <c r="R207" i="1"/>
  <c r="S207" i="1"/>
  <c r="P208" i="1"/>
  <c r="Q208" i="1"/>
  <c r="R208" i="1"/>
  <c r="S208" i="1"/>
  <c r="P209" i="1"/>
  <c r="Q209" i="1"/>
  <c r="R209" i="1"/>
  <c r="S209" i="1"/>
  <c r="P210" i="1"/>
  <c r="Q210" i="1"/>
  <c r="R210" i="1"/>
  <c r="S210" i="1"/>
  <c r="P211" i="1"/>
  <c r="Q211" i="1"/>
  <c r="R211" i="1"/>
  <c r="S211" i="1"/>
  <c r="Q202" i="1"/>
  <c r="R202" i="1"/>
  <c r="S202" i="1"/>
  <c r="P202" i="1"/>
  <c r="P163" i="1"/>
  <c r="Q163" i="1"/>
  <c r="R163" i="1"/>
  <c r="S163" i="1"/>
  <c r="P164" i="1"/>
  <c r="Q164" i="1"/>
  <c r="R164" i="1"/>
  <c r="S164" i="1"/>
  <c r="P165" i="1"/>
  <c r="Q165" i="1"/>
  <c r="R165" i="1"/>
  <c r="S165" i="1"/>
  <c r="P166" i="1"/>
  <c r="Q166" i="1"/>
  <c r="R166" i="1"/>
  <c r="S166" i="1"/>
  <c r="P167" i="1"/>
  <c r="Q167" i="1"/>
  <c r="R167" i="1"/>
  <c r="S167" i="1"/>
  <c r="P168" i="1"/>
  <c r="Q168" i="1"/>
  <c r="R168" i="1"/>
  <c r="S168" i="1"/>
  <c r="P169" i="1"/>
  <c r="Q169" i="1"/>
  <c r="R169" i="1"/>
  <c r="S169" i="1"/>
  <c r="P170" i="1"/>
  <c r="Q170" i="1"/>
  <c r="R170" i="1"/>
  <c r="S170" i="1"/>
  <c r="P171" i="1"/>
  <c r="Q171" i="1"/>
  <c r="R171" i="1"/>
  <c r="S171" i="1"/>
  <c r="Q162" i="1"/>
  <c r="R162" i="1"/>
  <c r="S162" i="1"/>
  <c r="P162" i="1"/>
  <c r="P123" i="1"/>
  <c r="Q123" i="1"/>
  <c r="R123" i="1"/>
  <c r="S123" i="1"/>
  <c r="P124" i="1"/>
  <c r="Q124" i="1"/>
  <c r="R124" i="1"/>
  <c r="S124" i="1"/>
  <c r="P125" i="1"/>
  <c r="Q125" i="1"/>
  <c r="R125" i="1"/>
  <c r="S125" i="1"/>
  <c r="P126" i="1"/>
  <c r="Q126" i="1"/>
  <c r="R126" i="1"/>
  <c r="S126" i="1"/>
  <c r="P127" i="1"/>
  <c r="Q127" i="1"/>
  <c r="R127" i="1"/>
  <c r="S127" i="1"/>
  <c r="P128" i="1"/>
  <c r="Q128" i="1"/>
  <c r="R128" i="1"/>
  <c r="S128" i="1"/>
  <c r="P129" i="1"/>
  <c r="Q129" i="1"/>
  <c r="R129" i="1"/>
  <c r="S129" i="1"/>
  <c r="P130" i="1"/>
  <c r="Q130" i="1"/>
  <c r="R130" i="1"/>
  <c r="S130" i="1"/>
  <c r="P131" i="1"/>
  <c r="Q131" i="1"/>
  <c r="R131" i="1"/>
  <c r="S131" i="1"/>
  <c r="Q122" i="1"/>
  <c r="R122" i="1"/>
  <c r="S122" i="1"/>
  <c r="P122" i="1"/>
  <c r="P83" i="1"/>
  <c r="Q83" i="1"/>
  <c r="R83" i="1"/>
  <c r="S83" i="1"/>
  <c r="P84" i="1"/>
  <c r="Q84" i="1"/>
  <c r="R84" i="1"/>
  <c r="S84" i="1"/>
  <c r="P85" i="1"/>
  <c r="Q85" i="1"/>
  <c r="R85" i="1"/>
  <c r="S85" i="1"/>
  <c r="P86" i="1"/>
  <c r="Q86" i="1"/>
  <c r="R86" i="1"/>
  <c r="S86" i="1"/>
  <c r="P87" i="1"/>
  <c r="Q87" i="1"/>
  <c r="R87" i="1"/>
  <c r="S87" i="1"/>
  <c r="P88" i="1"/>
  <c r="Q88" i="1"/>
  <c r="R88" i="1"/>
  <c r="S88" i="1"/>
  <c r="P89" i="1"/>
  <c r="Q89" i="1"/>
  <c r="R89" i="1"/>
  <c r="S89" i="1"/>
  <c r="P90" i="1"/>
  <c r="Q90" i="1"/>
  <c r="R90" i="1"/>
  <c r="S90" i="1"/>
  <c r="P91" i="1"/>
  <c r="Q91" i="1"/>
  <c r="R91" i="1"/>
  <c r="S91" i="1"/>
  <c r="Q82" i="1"/>
  <c r="R82" i="1"/>
  <c r="S82" i="1"/>
  <c r="P82" i="1"/>
  <c r="P43" i="1"/>
  <c r="Q43" i="1"/>
  <c r="R43" i="1"/>
  <c r="S43" i="1"/>
  <c r="P44" i="1"/>
  <c r="Q44" i="1"/>
  <c r="R44" i="1"/>
  <c r="S44" i="1"/>
  <c r="P45" i="1"/>
  <c r="Q45" i="1"/>
  <c r="R45" i="1"/>
  <c r="S45" i="1"/>
  <c r="P46" i="1"/>
  <c r="Q46" i="1"/>
  <c r="R46" i="1"/>
  <c r="S46" i="1"/>
  <c r="P47" i="1"/>
  <c r="Q47" i="1"/>
  <c r="R47" i="1"/>
  <c r="S47" i="1"/>
  <c r="P48" i="1"/>
  <c r="Q48" i="1"/>
  <c r="R48" i="1"/>
  <c r="S48" i="1"/>
  <c r="P49" i="1"/>
  <c r="Q49" i="1"/>
  <c r="R49" i="1"/>
  <c r="S49" i="1"/>
  <c r="P50" i="1"/>
  <c r="Q50" i="1"/>
  <c r="R50" i="1"/>
  <c r="S50" i="1"/>
  <c r="P51" i="1"/>
  <c r="Q51" i="1"/>
  <c r="R51" i="1"/>
  <c r="S51" i="1"/>
  <c r="Q42" i="1"/>
  <c r="R42" i="1"/>
  <c r="S42" i="1"/>
  <c r="P42" i="1"/>
  <c r="P3" i="1"/>
  <c r="Q3" i="1"/>
  <c r="R3" i="1"/>
  <c r="S3" i="1"/>
  <c r="P4" i="1"/>
  <c r="Q4" i="1"/>
  <c r="R4" i="1"/>
  <c r="S4" i="1"/>
  <c r="P5" i="1"/>
  <c r="Q5" i="1"/>
  <c r="R5" i="1"/>
  <c r="S5" i="1"/>
  <c r="P6" i="1"/>
  <c r="Q6" i="1"/>
  <c r="R6" i="1"/>
  <c r="S6" i="1"/>
  <c r="P7" i="1"/>
  <c r="Q7" i="1"/>
  <c r="R7" i="1"/>
  <c r="S7" i="1"/>
  <c r="P8" i="1"/>
  <c r="R8" i="1"/>
  <c r="S8" i="1"/>
  <c r="P9" i="1"/>
  <c r="Q9" i="1"/>
  <c r="R9" i="1"/>
  <c r="S9" i="1"/>
  <c r="P10" i="1"/>
  <c r="Q10" i="1"/>
  <c r="R10" i="1"/>
  <c r="S10" i="1"/>
  <c r="P11" i="1"/>
  <c r="Q11" i="1"/>
  <c r="R11" i="1"/>
  <c r="S11" i="1"/>
  <c r="Q2" i="1"/>
  <c r="R2" i="1"/>
  <c r="S2" i="1"/>
  <c r="P2" i="1"/>
  <c r="I12" i="2"/>
  <c r="I13" i="2"/>
  <c r="I14" i="2"/>
  <c r="I15" i="2"/>
  <c r="I16" i="2"/>
  <c r="I4" i="2"/>
  <c r="I5" i="2"/>
  <c r="I6" i="2"/>
  <c r="I7" i="2"/>
  <c r="I8" i="2"/>
  <c r="I9" i="2"/>
  <c r="I10" i="2"/>
  <c r="I11" i="2"/>
  <c r="I3" i="2"/>
  <c r="J1" i="2"/>
  <c r="I1" i="2"/>
  <c r="L1036" i="1"/>
  <c r="L1035" i="1"/>
  <c r="L1034" i="1"/>
  <c r="L1033" i="1"/>
  <c r="L1032" i="1"/>
  <c r="L1031" i="1"/>
  <c r="L1030" i="1"/>
  <c r="L1029" i="1"/>
  <c r="L1028" i="1"/>
  <c r="L1027" i="1"/>
  <c r="L1026" i="1"/>
  <c r="L1025" i="1"/>
  <c r="L1024" i="1"/>
  <c r="L1023" i="1"/>
  <c r="L1022" i="1"/>
  <c r="L1021" i="1"/>
  <c r="L1020" i="1"/>
  <c r="L1019" i="1"/>
  <c r="L1018" i="1"/>
  <c r="L1017" i="1"/>
  <c r="L1016" i="1"/>
  <c r="L1015" i="1"/>
  <c r="L1014" i="1"/>
  <c r="L1013" i="1"/>
  <c r="L1012" i="1"/>
  <c r="L1011" i="1"/>
  <c r="L1010" i="1"/>
  <c r="L1009" i="1"/>
  <c r="L1008" i="1"/>
  <c r="L1007" i="1"/>
  <c r="L1006" i="1"/>
  <c r="L1005" i="1"/>
  <c r="L1004" i="1"/>
  <c r="L1003" i="1"/>
  <c r="L1002" i="1"/>
  <c r="L1001" i="1"/>
  <c r="L1000" i="1"/>
  <c r="L999" i="1"/>
  <c r="L998" i="1"/>
  <c r="L997" i="1"/>
  <c r="L996" i="1"/>
  <c r="L995" i="1"/>
  <c r="L994" i="1"/>
  <c r="L993" i="1"/>
  <c r="L992" i="1"/>
  <c r="L991" i="1"/>
  <c r="L990" i="1"/>
  <c r="L989" i="1"/>
  <c r="L988" i="1"/>
  <c r="L987" i="1"/>
  <c r="L986" i="1"/>
  <c r="L985" i="1"/>
  <c r="L984" i="1"/>
  <c r="L983" i="1"/>
  <c r="L982" i="1"/>
  <c r="L981" i="1"/>
  <c r="L980" i="1"/>
  <c r="L979" i="1"/>
  <c r="L978" i="1"/>
  <c r="L977" i="1"/>
  <c r="L976" i="1"/>
  <c r="L975" i="1"/>
  <c r="L974" i="1"/>
  <c r="L973" i="1"/>
  <c r="L972" i="1"/>
  <c r="L971" i="1"/>
  <c r="L970" i="1"/>
  <c r="L969" i="1"/>
  <c r="L968" i="1"/>
  <c r="L967" i="1"/>
  <c r="L966" i="1"/>
  <c r="L965" i="1"/>
  <c r="L964" i="1"/>
  <c r="L963" i="1"/>
  <c r="L962" i="1"/>
  <c r="L961" i="1"/>
  <c r="L960" i="1"/>
  <c r="L959" i="1"/>
  <c r="L958" i="1"/>
  <c r="L957" i="1"/>
  <c r="L956" i="1"/>
  <c r="L955" i="1"/>
  <c r="L954" i="1"/>
  <c r="L953" i="1"/>
  <c r="L952" i="1"/>
  <c r="L951" i="1"/>
  <c r="L950" i="1"/>
  <c r="L949" i="1"/>
  <c r="L948" i="1"/>
  <c r="L947" i="1"/>
  <c r="L946" i="1"/>
  <c r="L945" i="1"/>
  <c r="L944" i="1"/>
  <c r="L943" i="1"/>
  <c r="L942" i="1"/>
  <c r="L941" i="1"/>
  <c r="L940" i="1"/>
  <c r="L939" i="1"/>
  <c r="L938" i="1"/>
  <c r="L937" i="1"/>
  <c r="L936" i="1"/>
  <c r="L935" i="1"/>
  <c r="L934" i="1"/>
  <c r="L933" i="1"/>
  <c r="L932" i="1"/>
  <c r="L931" i="1"/>
  <c r="L930" i="1"/>
  <c r="L929" i="1"/>
  <c r="L928" i="1"/>
  <c r="L927" i="1"/>
  <c r="L926" i="1"/>
  <c r="L925" i="1"/>
  <c r="L924" i="1"/>
  <c r="L923" i="1"/>
  <c r="L922" i="1"/>
  <c r="L921" i="1"/>
  <c r="L920" i="1"/>
  <c r="L919" i="1"/>
  <c r="L918" i="1"/>
  <c r="L917" i="1"/>
  <c r="L916" i="1"/>
  <c r="L915" i="1"/>
  <c r="L914" i="1"/>
  <c r="L913" i="1"/>
  <c r="L912" i="1"/>
  <c r="L911" i="1"/>
  <c r="L910" i="1"/>
  <c r="L909" i="1"/>
  <c r="L908" i="1"/>
  <c r="L907" i="1"/>
  <c r="L906" i="1"/>
  <c r="L905" i="1"/>
  <c r="L904" i="1"/>
  <c r="L903" i="1"/>
  <c r="L902" i="1"/>
  <c r="L901" i="1"/>
  <c r="L900" i="1"/>
  <c r="L899" i="1"/>
  <c r="L898" i="1"/>
  <c r="L897" i="1"/>
  <c r="L896" i="1"/>
  <c r="L895" i="1"/>
  <c r="L894" i="1"/>
  <c r="L893" i="1"/>
  <c r="L892" i="1"/>
  <c r="L891" i="1"/>
  <c r="L890" i="1"/>
  <c r="L889" i="1"/>
  <c r="L888" i="1"/>
  <c r="L887" i="1"/>
  <c r="L886" i="1"/>
  <c r="L885" i="1"/>
  <c r="L884" i="1"/>
  <c r="L883" i="1"/>
  <c r="L882" i="1"/>
  <c r="L881" i="1"/>
  <c r="L880" i="1"/>
  <c r="L879" i="1"/>
  <c r="L878" i="1"/>
  <c r="L877" i="1"/>
  <c r="L721" i="1"/>
  <c r="L720" i="1"/>
  <c r="L719" i="1"/>
  <c r="L718" i="1"/>
  <c r="L717" i="1"/>
  <c r="L716" i="1"/>
  <c r="L715" i="1"/>
  <c r="L714" i="1"/>
  <c r="L713" i="1"/>
  <c r="L712" i="1"/>
  <c r="L711" i="1"/>
  <c r="L710" i="1"/>
  <c r="L709" i="1"/>
  <c r="L708" i="1"/>
  <c r="L707" i="1"/>
  <c r="L706" i="1"/>
  <c r="L705" i="1"/>
  <c r="L704" i="1"/>
  <c r="L703" i="1"/>
  <c r="L702" i="1"/>
  <c r="L701" i="1"/>
  <c r="L700" i="1"/>
  <c r="L699" i="1"/>
  <c r="L698" i="1"/>
  <c r="L697" i="1"/>
  <c r="L696" i="1"/>
  <c r="L695" i="1"/>
  <c r="L694" i="1"/>
  <c r="L693" i="1"/>
  <c r="L692" i="1"/>
  <c r="L691" i="1"/>
  <c r="L690" i="1"/>
  <c r="L689" i="1"/>
  <c r="L688" i="1"/>
  <c r="L687" i="1"/>
  <c r="L686" i="1"/>
  <c r="L685" i="1"/>
  <c r="L684" i="1"/>
  <c r="L683" i="1"/>
  <c r="L682" i="1"/>
  <c r="L681" i="1"/>
  <c r="L680" i="1"/>
  <c r="L679" i="1"/>
  <c r="L678" i="1"/>
  <c r="L677" i="1"/>
  <c r="L676" i="1"/>
  <c r="L675" i="1"/>
  <c r="L674" i="1"/>
  <c r="L673" i="1"/>
  <c r="L672" i="1"/>
  <c r="L671" i="1"/>
  <c r="L670" i="1"/>
  <c r="L669" i="1"/>
  <c r="L668" i="1"/>
  <c r="L667" i="1"/>
  <c r="L666" i="1"/>
  <c r="L665" i="1"/>
  <c r="L664" i="1"/>
  <c r="L663" i="1"/>
  <c r="L662" i="1"/>
  <c r="L661" i="1"/>
  <c r="L660" i="1"/>
  <c r="L659" i="1"/>
  <c r="L658" i="1"/>
  <c r="L657" i="1"/>
  <c r="L656" i="1"/>
  <c r="L655" i="1"/>
  <c r="L654" i="1"/>
  <c r="L653" i="1"/>
  <c r="L652" i="1"/>
  <c r="L651" i="1"/>
  <c r="L650" i="1"/>
  <c r="L649" i="1"/>
  <c r="L648" i="1"/>
  <c r="L647" i="1"/>
  <c r="L646" i="1"/>
  <c r="L645" i="1"/>
  <c r="L644" i="1"/>
  <c r="L643" i="1"/>
  <c r="L642" i="1"/>
  <c r="L641" i="1"/>
  <c r="L640" i="1"/>
  <c r="L639" i="1"/>
  <c r="L638" i="1"/>
  <c r="L637" i="1"/>
  <c r="L636" i="1"/>
  <c r="L635" i="1"/>
  <c r="L634" i="1"/>
  <c r="L633" i="1"/>
  <c r="L632" i="1"/>
  <c r="L631" i="1"/>
  <c r="L630" i="1"/>
  <c r="L629" i="1"/>
  <c r="L628" i="1"/>
  <c r="L627" i="1"/>
  <c r="L626" i="1"/>
  <c r="L625" i="1"/>
  <c r="L624" i="1"/>
  <c r="L623" i="1"/>
  <c r="L622" i="1"/>
  <c r="L621" i="1"/>
  <c r="L620" i="1"/>
  <c r="L619" i="1"/>
  <c r="L618" i="1"/>
  <c r="L617" i="1"/>
  <c r="L616" i="1"/>
  <c r="L615" i="1"/>
  <c r="L614" i="1"/>
  <c r="L613" i="1"/>
  <c r="L612" i="1"/>
  <c r="L611" i="1"/>
  <c r="L610" i="1"/>
  <c r="L609" i="1"/>
  <c r="L608" i="1"/>
  <c r="L607" i="1"/>
  <c r="L606" i="1"/>
  <c r="L605" i="1"/>
  <c r="L604" i="1"/>
  <c r="L603" i="1"/>
  <c r="L602" i="1"/>
  <c r="L601" i="1"/>
  <c r="L600" i="1"/>
  <c r="L599" i="1"/>
  <c r="L598" i="1"/>
  <c r="L597" i="1"/>
  <c r="L596" i="1"/>
  <c r="L595" i="1"/>
  <c r="L594" i="1"/>
  <c r="L593" i="1"/>
  <c r="L592" i="1"/>
  <c r="L591" i="1"/>
  <c r="L590" i="1"/>
  <c r="L589" i="1"/>
  <c r="L588" i="1"/>
  <c r="L587" i="1"/>
  <c r="L586" i="1"/>
  <c r="L585" i="1"/>
  <c r="L584" i="1"/>
  <c r="L583" i="1"/>
  <c r="L582" i="1"/>
  <c r="L581" i="1"/>
  <c r="L580" i="1"/>
  <c r="L579" i="1"/>
  <c r="L578" i="1"/>
  <c r="L577" i="1"/>
  <c r="L576" i="1"/>
  <c r="L575" i="1"/>
  <c r="L574" i="1"/>
  <c r="L573" i="1"/>
  <c r="L572" i="1"/>
  <c r="L571" i="1"/>
  <c r="L570" i="1"/>
  <c r="L569" i="1"/>
  <c r="L568" i="1"/>
  <c r="L567" i="1"/>
  <c r="L566" i="1"/>
  <c r="L565" i="1"/>
  <c r="L564" i="1"/>
  <c r="L563" i="1"/>
  <c r="L562" i="1"/>
  <c r="L441" i="1"/>
  <c r="L440" i="1"/>
  <c r="L439" i="1"/>
  <c r="L438" i="1"/>
  <c r="L437" i="1"/>
  <c r="L436" i="1"/>
  <c r="L435" i="1"/>
  <c r="L434" i="1"/>
  <c r="L433" i="1"/>
  <c r="L432" i="1"/>
  <c r="L431" i="1"/>
  <c r="L430" i="1"/>
  <c r="L429" i="1"/>
  <c r="L428" i="1"/>
  <c r="L427" i="1"/>
  <c r="L426" i="1"/>
  <c r="L425" i="1"/>
  <c r="L424" i="1"/>
  <c r="L423" i="1"/>
  <c r="L422" i="1"/>
  <c r="L421" i="1"/>
  <c r="L420" i="1"/>
  <c r="L419" i="1"/>
  <c r="L418" i="1"/>
  <c r="L417" i="1"/>
  <c r="L416" i="1"/>
  <c r="L415" i="1"/>
  <c r="L414" i="1"/>
  <c r="L413" i="1"/>
  <c r="L412" i="1"/>
  <c r="L411" i="1"/>
  <c r="L410" i="1"/>
  <c r="L409" i="1"/>
  <c r="L408" i="1"/>
  <c r="L407" i="1"/>
  <c r="L406" i="1"/>
  <c r="L405" i="1"/>
  <c r="L404" i="1"/>
  <c r="L403" i="1"/>
  <c r="L402" i="1"/>
  <c r="L401" i="1"/>
  <c r="L400" i="1"/>
  <c r="L399" i="1"/>
  <c r="L398" i="1"/>
  <c r="L397" i="1"/>
  <c r="L396" i="1"/>
  <c r="L395" i="1"/>
  <c r="L394" i="1"/>
  <c r="L393" i="1"/>
  <c r="L392" i="1"/>
  <c r="L391" i="1"/>
  <c r="L390" i="1"/>
  <c r="L389" i="1"/>
  <c r="L388" i="1"/>
  <c r="L387" i="1"/>
  <c r="L386" i="1"/>
  <c r="L385" i="1"/>
  <c r="L384" i="1"/>
  <c r="L383" i="1"/>
  <c r="L382" i="1"/>
  <c r="L381" i="1"/>
  <c r="L380" i="1"/>
  <c r="L379" i="1"/>
  <c r="L378" i="1"/>
  <c r="L377" i="1"/>
  <c r="L376" i="1"/>
  <c r="L375" i="1"/>
  <c r="L374" i="1"/>
  <c r="L373" i="1"/>
  <c r="L372" i="1"/>
  <c r="L371" i="1"/>
  <c r="L370" i="1"/>
  <c r="L369" i="1"/>
  <c r="L368" i="1"/>
  <c r="L367" i="1"/>
  <c r="L366" i="1"/>
  <c r="L365" i="1"/>
  <c r="L364" i="1"/>
  <c r="L363" i="1"/>
  <c r="L362" i="1"/>
  <c r="L359" i="1"/>
  <c r="L360" i="1"/>
  <c r="L361" i="1"/>
  <c r="L358" i="1"/>
  <c r="L355" i="1"/>
  <c r="L356" i="1"/>
  <c r="L357" i="1"/>
  <c r="L354" i="1"/>
  <c r="L351" i="1"/>
  <c r="L352" i="1"/>
  <c r="L353" i="1"/>
  <c r="L350" i="1"/>
  <c r="L347" i="1"/>
  <c r="L348" i="1"/>
  <c r="L349" i="1"/>
  <c r="L346" i="1"/>
  <c r="L343" i="1"/>
  <c r="L344" i="1"/>
  <c r="L345" i="1"/>
  <c r="L342" i="1"/>
  <c r="L339" i="1"/>
  <c r="L340" i="1"/>
  <c r="L341" i="1"/>
  <c r="L338" i="1"/>
  <c r="L335" i="1"/>
  <c r="L336" i="1"/>
  <c r="L337" i="1"/>
  <c r="L334" i="1"/>
  <c r="L331" i="1"/>
  <c r="L332" i="1"/>
  <c r="L333" i="1"/>
  <c r="L330" i="1"/>
  <c r="L327" i="1"/>
  <c r="L328" i="1"/>
  <c r="L329" i="1"/>
  <c r="L326" i="1"/>
  <c r="L323" i="1"/>
  <c r="L324" i="1"/>
  <c r="L325" i="1"/>
  <c r="L322" i="1"/>
  <c r="P998" i="1"/>
  <c r="Q998" i="1"/>
  <c r="R998" i="1"/>
  <c r="S998" i="1"/>
  <c r="P999" i="1"/>
  <c r="Q999" i="1"/>
  <c r="R999" i="1"/>
  <c r="S999" i="1"/>
  <c r="P1000" i="1"/>
  <c r="Q1000" i="1"/>
  <c r="R1000" i="1"/>
  <c r="S1000" i="1"/>
  <c r="P1001" i="1"/>
  <c r="Q1001" i="1"/>
  <c r="R1001" i="1"/>
  <c r="S1001" i="1"/>
  <c r="P1002" i="1"/>
  <c r="Q1002" i="1"/>
  <c r="R1002" i="1"/>
  <c r="S1002" i="1"/>
  <c r="P1003" i="1"/>
  <c r="Q1003" i="1"/>
  <c r="R1003" i="1"/>
  <c r="S1003" i="1"/>
  <c r="P1004" i="1"/>
  <c r="Q1004" i="1"/>
  <c r="R1004" i="1"/>
  <c r="S1004" i="1"/>
  <c r="P1005" i="1"/>
  <c r="Q1005" i="1"/>
  <c r="R1005" i="1"/>
  <c r="S1005" i="1"/>
  <c r="P1006" i="1"/>
  <c r="Q1006" i="1"/>
  <c r="R1006" i="1"/>
  <c r="S1006" i="1"/>
  <c r="Q997" i="1"/>
  <c r="R997" i="1"/>
  <c r="S997" i="1"/>
  <c r="P997" i="1"/>
  <c r="P958" i="1"/>
  <c r="Q958" i="1"/>
  <c r="R958" i="1"/>
  <c r="S958" i="1"/>
  <c r="P959" i="1"/>
  <c r="Q959" i="1"/>
  <c r="R959" i="1"/>
  <c r="S959" i="1"/>
  <c r="P960" i="1"/>
  <c r="Q960" i="1"/>
  <c r="R960" i="1"/>
  <c r="S960" i="1"/>
  <c r="P961" i="1"/>
  <c r="Q961" i="1"/>
  <c r="R961" i="1"/>
  <c r="S961" i="1"/>
  <c r="P962" i="1"/>
  <c r="Q962" i="1"/>
  <c r="R962" i="1"/>
  <c r="S962" i="1"/>
  <c r="P963" i="1"/>
  <c r="Q963" i="1"/>
  <c r="R963" i="1"/>
  <c r="S963" i="1"/>
  <c r="P964" i="1"/>
  <c r="Q964" i="1"/>
  <c r="R964" i="1"/>
  <c r="S964" i="1"/>
  <c r="P965" i="1"/>
  <c r="Q965" i="1"/>
  <c r="R965" i="1"/>
  <c r="S965" i="1"/>
  <c r="P966" i="1"/>
  <c r="Q966" i="1"/>
  <c r="R966" i="1"/>
  <c r="S966" i="1"/>
  <c r="Q957" i="1"/>
  <c r="R957" i="1"/>
  <c r="S957" i="1"/>
  <c r="P957" i="1"/>
  <c r="P918" i="1"/>
  <c r="Q918" i="1"/>
  <c r="R918" i="1"/>
  <c r="S918" i="1"/>
  <c r="P919" i="1"/>
  <c r="Q919" i="1"/>
  <c r="R919" i="1"/>
  <c r="S919" i="1"/>
  <c r="P920" i="1"/>
  <c r="Q920" i="1"/>
  <c r="R920" i="1"/>
  <c r="S920" i="1"/>
  <c r="P921" i="1"/>
  <c r="Q921" i="1"/>
  <c r="R921" i="1"/>
  <c r="S921" i="1"/>
  <c r="P922" i="1"/>
  <c r="Q922" i="1"/>
  <c r="R922" i="1"/>
  <c r="S922" i="1"/>
  <c r="P923" i="1"/>
  <c r="Q923" i="1"/>
  <c r="R923" i="1"/>
  <c r="S923" i="1"/>
  <c r="P924" i="1"/>
  <c r="Q924" i="1"/>
  <c r="R924" i="1"/>
  <c r="S924" i="1"/>
  <c r="P925" i="1"/>
  <c r="Q925" i="1"/>
  <c r="R925" i="1"/>
  <c r="S925" i="1"/>
  <c r="P926" i="1"/>
  <c r="Q926" i="1"/>
  <c r="R926" i="1"/>
  <c r="S926" i="1"/>
  <c r="Q917" i="1"/>
  <c r="R917" i="1"/>
  <c r="S917" i="1"/>
  <c r="P917" i="1"/>
  <c r="P878" i="1"/>
  <c r="Q878" i="1"/>
  <c r="R878" i="1"/>
  <c r="S878" i="1"/>
  <c r="P879" i="1"/>
  <c r="Q879" i="1"/>
  <c r="R879" i="1"/>
  <c r="S879" i="1"/>
  <c r="P880" i="1"/>
  <c r="Q880" i="1"/>
  <c r="R880" i="1"/>
  <c r="S880" i="1"/>
  <c r="P881" i="1"/>
  <c r="Q881" i="1"/>
  <c r="R881" i="1"/>
  <c r="S881" i="1"/>
  <c r="P882" i="1"/>
  <c r="Q882" i="1"/>
  <c r="R882" i="1"/>
  <c r="S882" i="1"/>
  <c r="P883" i="1"/>
  <c r="Q883" i="1"/>
  <c r="R883" i="1"/>
  <c r="S883" i="1"/>
  <c r="P884" i="1"/>
  <c r="Q884" i="1"/>
  <c r="R884" i="1"/>
  <c r="S884" i="1"/>
  <c r="P885" i="1"/>
  <c r="Q885" i="1"/>
  <c r="R885" i="1"/>
  <c r="S885" i="1"/>
  <c r="P886" i="1"/>
  <c r="Q886" i="1"/>
  <c r="R886" i="1"/>
  <c r="S886" i="1"/>
  <c r="Q877" i="1"/>
  <c r="R877" i="1"/>
  <c r="S877" i="1"/>
  <c r="P877" i="1"/>
  <c r="Q783" i="1"/>
  <c r="Q784" i="1"/>
  <c r="Q785" i="1"/>
  <c r="Q786" i="1"/>
  <c r="Q787" i="1"/>
  <c r="Q788" i="1"/>
  <c r="Q789" i="1"/>
  <c r="Q790" i="1"/>
  <c r="Q791" i="1"/>
  <c r="Q782" i="1"/>
  <c r="P683" i="1"/>
  <c r="Q683" i="1"/>
  <c r="R683" i="1"/>
  <c r="S683" i="1"/>
  <c r="P684" i="1"/>
  <c r="Q684" i="1"/>
  <c r="R684" i="1"/>
  <c r="S684" i="1"/>
  <c r="P685" i="1"/>
  <c r="Q685" i="1"/>
  <c r="R685" i="1"/>
  <c r="S685" i="1"/>
  <c r="P686" i="1"/>
  <c r="Q686" i="1"/>
  <c r="R686" i="1"/>
  <c r="S686" i="1"/>
  <c r="P687" i="1"/>
  <c r="Q687" i="1"/>
  <c r="R687" i="1"/>
  <c r="S687" i="1"/>
  <c r="P688" i="1"/>
  <c r="Q688" i="1"/>
  <c r="R688" i="1"/>
  <c r="S688" i="1"/>
  <c r="P689" i="1"/>
  <c r="Q689" i="1"/>
  <c r="R689" i="1"/>
  <c r="S689" i="1"/>
  <c r="P690" i="1"/>
  <c r="Q690" i="1"/>
  <c r="R690" i="1"/>
  <c r="S690" i="1"/>
  <c r="P691" i="1"/>
  <c r="Q691" i="1"/>
  <c r="R691" i="1"/>
  <c r="S691" i="1"/>
  <c r="Q682" i="1"/>
  <c r="R682" i="1"/>
  <c r="S682" i="1"/>
  <c r="P682" i="1"/>
  <c r="P643" i="1"/>
  <c r="Q643" i="1"/>
  <c r="R643" i="1"/>
  <c r="S643" i="1"/>
  <c r="P644" i="1"/>
  <c r="Q644" i="1"/>
  <c r="R644" i="1"/>
  <c r="S644" i="1"/>
  <c r="P645" i="1"/>
  <c r="Q645" i="1"/>
  <c r="R645" i="1"/>
  <c r="S645" i="1"/>
  <c r="P646" i="1"/>
  <c r="Q646" i="1"/>
  <c r="R646" i="1"/>
  <c r="S646" i="1"/>
  <c r="P647" i="1"/>
  <c r="Q647" i="1"/>
  <c r="R647" i="1"/>
  <c r="S647" i="1"/>
  <c r="P648" i="1"/>
  <c r="Q648" i="1"/>
  <c r="R648" i="1"/>
  <c r="S648" i="1"/>
  <c r="P649" i="1"/>
  <c r="Q649" i="1"/>
  <c r="R649" i="1"/>
  <c r="S649" i="1"/>
  <c r="P650" i="1"/>
  <c r="Q650" i="1"/>
  <c r="R650" i="1"/>
  <c r="S650" i="1"/>
  <c r="P651" i="1"/>
  <c r="Q651" i="1"/>
  <c r="R651" i="1"/>
  <c r="S651" i="1"/>
  <c r="Q642" i="1"/>
  <c r="R642" i="1"/>
  <c r="S642" i="1"/>
  <c r="P642" i="1"/>
  <c r="P603" i="1"/>
  <c r="Q603" i="1"/>
  <c r="R603" i="1"/>
  <c r="S603" i="1"/>
  <c r="P604" i="1"/>
  <c r="Q604" i="1"/>
  <c r="R604" i="1"/>
  <c r="S604" i="1"/>
  <c r="P605" i="1"/>
  <c r="Q605" i="1"/>
  <c r="R605" i="1"/>
  <c r="S605" i="1"/>
  <c r="P606" i="1"/>
  <c r="Q606" i="1"/>
  <c r="R606" i="1"/>
  <c r="S606" i="1"/>
  <c r="P607" i="1"/>
  <c r="Q607" i="1"/>
  <c r="R607" i="1"/>
  <c r="S607" i="1"/>
  <c r="P608" i="1"/>
  <c r="Q608" i="1"/>
  <c r="R608" i="1"/>
  <c r="S608" i="1"/>
  <c r="P609" i="1"/>
  <c r="Q609" i="1"/>
  <c r="R609" i="1"/>
  <c r="S609" i="1"/>
  <c r="P610" i="1"/>
  <c r="Q610" i="1"/>
  <c r="R610" i="1"/>
  <c r="S610" i="1"/>
  <c r="P611" i="1"/>
  <c r="Q611" i="1"/>
  <c r="R611" i="1"/>
  <c r="S611" i="1"/>
  <c r="Q602" i="1"/>
  <c r="R602" i="1"/>
  <c r="S602" i="1"/>
  <c r="P602" i="1"/>
  <c r="P563" i="1"/>
  <c r="Q563" i="1"/>
  <c r="R563" i="1"/>
  <c r="S563" i="1"/>
  <c r="P564" i="1"/>
  <c r="Q564" i="1"/>
  <c r="R564" i="1"/>
  <c r="S564" i="1"/>
  <c r="P565" i="1"/>
  <c r="Q565" i="1"/>
  <c r="R565" i="1"/>
  <c r="S565" i="1"/>
  <c r="P566" i="1"/>
  <c r="Q566" i="1"/>
  <c r="R566" i="1"/>
  <c r="S566" i="1"/>
  <c r="P567" i="1"/>
  <c r="Q567" i="1"/>
  <c r="R567" i="1"/>
  <c r="S567" i="1"/>
  <c r="P568" i="1"/>
  <c r="Q568" i="1"/>
  <c r="R568" i="1"/>
  <c r="S568" i="1"/>
  <c r="P569" i="1"/>
  <c r="Q569" i="1"/>
  <c r="R569" i="1"/>
  <c r="S569" i="1"/>
  <c r="P570" i="1"/>
  <c r="Q570" i="1"/>
  <c r="R570" i="1"/>
  <c r="S570" i="1"/>
  <c r="P571" i="1"/>
  <c r="Q571" i="1"/>
  <c r="R571" i="1"/>
  <c r="S571" i="1"/>
  <c r="Q562" i="1"/>
  <c r="R562" i="1"/>
  <c r="S562" i="1"/>
  <c r="P562" i="1"/>
  <c r="P363" i="1"/>
  <c r="Q363" i="1"/>
  <c r="R363" i="1"/>
  <c r="S363" i="1"/>
  <c r="P364" i="1"/>
  <c r="Q364" i="1"/>
  <c r="R364" i="1"/>
  <c r="S364" i="1"/>
  <c r="P365" i="1"/>
  <c r="Q365" i="1"/>
  <c r="R365" i="1"/>
  <c r="S365" i="1"/>
  <c r="P366" i="1"/>
  <c r="Q366" i="1"/>
  <c r="R366" i="1"/>
  <c r="S366" i="1"/>
  <c r="P367" i="1"/>
  <c r="Q367" i="1"/>
  <c r="R367" i="1"/>
  <c r="S367" i="1"/>
  <c r="P368" i="1"/>
  <c r="Q368" i="1"/>
  <c r="R368" i="1"/>
  <c r="S368" i="1"/>
  <c r="P369" i="1"/>
  <c r="Q369" i="1"/>
  <c r="R369" i="1"/>
  <c r="S369" i="1"/>
  <c r="P370" i="1"/>
  <c r="Q370" i="1"/>
  <c r="R370" i="1"/>
  <c r="S370" i="1"/>
  <c r="P371" i="1"/>
  <c r="Q371" i="1"/>
  <c r="R371" i="1"/>
  <c r="S371" i="1"/>
  <c r="Q362" i="1"/>
  <c r="R362" i="1"/>
  <c r="S362" i="1"/>
  <c r="P362" i="1"/>
  <c r="P323" i="1"/>
  <c r="Q323" i="1"/>
  <c r="R323" i="1"/>
  <c r="S323" i="1"/>
  <c r="P324" i="1"/>
  <c r="Q324" i="1"/>
  <c r="R324" i="1"/>
  <c r="S324" i="1"/>
  <c r="P325" i="1"/>
  <c r="Q325" i="1"/>
  <c r="R325" i="1"/>
  <c r="S325" i="1"/>
  <c r="P326" i="1"/>
  <c r="Q326" i="1"/>
  <c r="R326" i="1"/>
  <c r="S326" i="1"/>
  <c r="P327" i="1"/>
  <c r="Q327" i="1"/>
  <c r="R327" i="1"/>
  <c r="S327" i="1"/>
  <c r="P328" i="1"/>
  <c r="Q328" i="1"/>
  <c r="R328" i="1"/>
  <c r="S328" i="1"/>
  <c r="P329" i="1"/>
  <c r="Q329" i="1"/>
  <c r="R329" i="1"/>
  <c r="S329" i="1"/>
  <c r="P330" i="1"/>
  <c r="Q330" i="1"/>
  <c r="R330" i="1"/>
  <c r="S330" i="1"/>
  <c r="P331" i="1"/>
  <c r="Q331" i="1"/>
  <c r="R331" i="1"/>
  <c r="S331" i="1"/>
  <c r="Q322" i="1"/>
  <c r="R322" i="1"/>
  <c r="S322" i="1"/>
  <c r="P322" i="1"/>
  <c r="P403" i="1"/>
  <c r="Q403" i="1"/>
  <c r="R403" i="1"/>
  <c r="S403" i="1"/>
  <c r="P404" i="1"/>
  <c r="Q404" i="1"/>
  <c r="R404" i="1"/>
  <c r="S404" i="1"/>
  <c r="P405" i="1"/>
  <c r="Q405" i="1"/>
  <c r="R405" i="1"/>
  <c r="S405" i="1"/>
  <c r="P406" i="1"/>
  <c r="Q406" i="1"/>
  <c r="R406" i="1"/>
  <c r="S406" i="1"/>
  <c r="P407" i="1"/>
  <c r="Q407" i="1"/>
  <c r="R407" i="1"/>
  <c r="S407" i="1"/>
  <c r="P408" i="1"/>
  <c r="Q408" i="1"/>
  <c r="R408" i="1"/>
  <c r="S408" i="1"/>
  <c r="P409" i="1"/>
  <c r="Q409" i="1"/>
  <c r="R409" i="1"/>
  <c r="S409" i="1"/>
  <c r="P410" i="1"/>
  <c r="Q410" i="1"/>
  <c r="R410" i="1"/>
  <c r="S410" i="1"/>
  <c r="P411" i="1"/>
  <c r="Q411" i="1"/>
  <c r="R411" i="1"/>
  <c r="S411" i="1"/>
  <c r="Q402" i="1"/>
  <c r="R402" i="1"/>
  <c r="S402" i="1"/>
  <c r="P402" i="1"/>
</calcChain>
</file>

<file path=xl/sharedStrings.xml><?xml version="1.0" encoding="utf-8"?>
<sst xmlns="http://schemas.openxmlformats.org/spreadsheetml/2006/main" count="2729" uniqueCount="145">
  <si>
    <t>male</t>
  </si>
  <si>
    <t>rural</t>
  </si>
  <si>
    <t>female</t>
  </si>
  <si>
    <t>urban</t>
  </si>
  <si>
    <t>% of total national wealth</t>
  </si>
  <si>
    <t>%</t>
  </si>
  <si>
    <t>Wealth Share|Female|Urban|Dx</t>
  </si>
  <si>
    <t>OPTIONAL</t>
  </si>
  <si>
    <t>CO2 Emissions per capita in each Decile (tCO2)</t>
  </si>
  <si>
    <t>tCO2</t>
  </si>
  <si>
    <t>Emissions per capita|Female|Urban|Dx</t>
  </si>
  <si>
    <t>average equivalent household size (OECD scale) 1 plus 0.5 per adult (older than 14 years) and 0.3 per child (14 or less years)</t>
  </si>
  <si>
    <t>number</t>
  </si>
  <si>
    <t>Equivalence Household Size|Female|Urban|Dx</t>
  </si>
  <si>
    <t>MANDATORY</t>
  </si>
  <si>
    <t>average number of adults per household in each group</t>
  </si>
  <si>
    <t>Household Number of Adults|Female|Urban|Dx</t>
  </si>
  <si>
    <t>average household size in each group</t>
  </si>
  <si>
    <t>Household Size|Female|Urban|Dx</t>
  </si>
  <si>
    <t>in % of total population using equivalents for children in each group</t>
  </si>
  <si>
    <t>Population equivalent share|Female|Urban|Dx</t>
  </si>
  <si>
    <t>average value</t>
  </si>
  <si>
    <t>US-$[2020]</t>
  </si>
  <si>
    <t>Income per equivalent capita|Female|Urban</t>
  </si>
  <si>
    <t>Income per equivalent capita</t>
  </si>
  <si>
    <t>% of total Income in a given quantile, national deciles!</t>
  </si>
  <si>
    <t>Income Decile|Dx</t>
  </si>
  <si>
    <t>% of total expenditures in a given quantile, national deciles! Two options for INC/EQU!</t>
  </si>
  <si>
    <t>Expenditure Decile|EQU|Dx</t>
  </si>
  <si>
    <t>Education|Tertiary Education|Female|Urban|Dx</t>
  </si>
  <si>
    <t>Education|Secondary Education|Female|Urban|Dx</t>
  </si>
  <si>
    <t>Education|Primary Education|Female|Urban|Dx</t>
  </si>
  <si>
    <t>Education|No Education|Female|Urban|Dx</t>
  </si>
  <si>
    <t>% of individuals in any given group (group = settlement x gender x decile)</t>
  </si>
  <si>
    <t>Education|Under 15|Female|Urban|Dx</t>
  </si>
  <si>
    <t>% of total HH income (two options for expenditures (INC/EQU))</t>
  </si>
  <si>
    <t>Savings Rate|Female|EQU|Urban|Dx</t>
  </si>
  <si>
    <t>Income Share|Other|Female|Urban|Dx</t>
  </si>
  <si>
    <t>Income Share|Transfers|Female|Urban|Dx</t>
  </si>
  <si>
    <t>Income Share|Capital|Female|Urban|Dx</t>
  </si>
  <si>
    <t>Income Share|Labour|Female|Urban|Dx</t>
  </si>
  <si>
    <t>All other goods and services</t>
  </si>
  <si>
    <t>Expenditure Share|Other|Female|Urban|Dx</t>
  </si>
  <si>
    <t>Share of  CP07 "Transport" in total expenditures within household; EQU or INC as option. EQU=equal sharing of expenditures, INC=expenditures proportional to income (excl. capital)</t>
  </si>
  <si>
    <t>Expenditure Share|Energy|Transportation|Female|Urban|Dx</t>
  </si>
  <si>
    <t>Share of  CP045 "Electricity, gas and other fuels" in total expenditures within household; EQU or INC as option. EQU=equal sharing of expenditures, INC=expenditures proportional to income (excl. capital)</t>
  </si>
  <si>
    <t>Expenditure Share|Energy|Housing|Female|Urban|Dx</t>
  </si>
  <si>
    <t>Share of CP01 "Food" in total expenditures within household; EQU or INC as option. EQU=equal sharing of expenditures, INC=expenditures proportional to income (excl. capital)</t>
  </si>
  <si>
    <t>Expenditure Share|Food|Female|EQU|Female|Urban|Dx</t>
  </si>
  <si>
    <t>gender</t>
  </si>
  <si>
    <t>settlement</t>
  </si>
  <si>
    <t>decile</t>
  </si>
  <si>
    <t>number of variables</t>
  </si>
  <si>
    <t>Definition</t>
  </si>
  <si>
    <t>UNIT</t>
  </si>
  <si>
    <t>VARIABLE</t>
  </si>
  <si>
    <t>ISO3</t>
  </si>
  <si>
    <t>SCENARIO</t>
  </si>
  <si>
    <t>MODEL</t>
  </si>
  <si>
    <t>urb male</t>
  </si>
  <si>
    <t>urb fem</t>
  </si>
  <si>
    <t>rur male</t>
  </si>
  <si>
    <t>rur fem</t>
  </si>
  <si>
    <t>INC</t>
  </si>
  <si>
    <t>EQY</t>
  </si>
  <si>
    <t>% of total PERSONAL income</t>
  </si>
  <si>
    <t>Population share|Female|Urban|Dx</t>
  </si>
  <si>
    <t xml:space="preserve">in % of total population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</si>
  <si>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</si>
  <si>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</t>
  </si>
  <si>
    <t xml:space="preserve">                                    </t>
  </si>
  <si>
    <t>Income per capita|Female|Urban|Dx</t>
  </si>
  <si>
    <t>Expenditure per capita|Female|Urban|Dx</t>
  </si>
  <si>
    <t>       hcexp |</t>
  </si>
  <si>
    <t>     40,171</t>
  </si>
  <si>
    <t>    129840.8        665    3889788</t>
  </si>
  <si>
    <t>         hc1 |</t>
  </si>
  <si>
    <t>    21381.99         20    2400000</t>
  </si>
  <si>
    <t>         hc2 |</t>
  </si>
  <si>
    <t>    4137.734          0     180000</t>
  </si>
  <si>
    <t>         hc3 |</t>
  </si>
  <si>
    <t>    6677.454          0     156000</t>
  </si>
  <si>
    <t>         hc4 |</t>
  </si>
  <si>
    <t>    12097.47          0     432000</t>
  </si>
  <si>
    <t>-------------+</t>
  </si>
  <si>
    <t>-----------</t>
  </si>
  <si>
    <t>------------</t>
  </si>
  <si>
    <t>----------------------------------</t>
  </si>
  <si>
    <t>         hc5 |</t>
  </si>
  <si>
    <t>    67403.31          0    3610800</t>
  </si>
  <si>
    <t>         hc6 |</t>
  </si>
  <si>
    <t>    14653.32          0     360000</t>
  </si>
  <si>
    <t>         hc7 |</t>
  </si>
  <si>
    <t>    26417.68          0     888000</t>
  </si>
  <si>
    <t>         hc8 |</t>
  </si>
  <si>
    <t>    4530.882          0      79200</t>
  </si>
  <si>
    <t>         hc9 |</t>
  </si>
  <si>
    <t>    5311.549          0     179520</t>
  </si>
  <si>
    <t>        hc10 |</t>
  </si>
  <si>
    <t>    24075.69          0    1680000</t>
  </si>
  <si>
    <t>        hc11 |</t>
  </si>
  <si>
    <t>    18985.94          0    1320000</t>
  </si>
  <si>
    <t>        hc12 |</t>
  </si>
  <si>
    <t>    29957.52          0    1203240</t>
  </si>
  <si>
    <t>intra-hh allocation</t>
  </si>
  <si>
    <t> .0217737</t>
  </si>
  <si>
    <t>  .018788</t>
  </si>
  <si>
    <t> .0215466</t>
  </si>
  <si>
    <t> .0260486</t>
  </si>
  <si>
    <t> .0279373</t>
  </si>
  <si>
    <t> .0323376</t>
  </si>
  <si>
    <t> .0378101</t>
  </si>
  <si>
    <t> .0412124</t>
  </si>
  <si>
    <t> .0443093</t>
  </si>
  <si>
    <t> .0487734</t>
  </si>
  <si>
    <t>  .0235248</t>
  </si>
  <si>
    <t>   .021606</t>
  </si>
  <si>
    <t>  .0248282</t>
  </si>
  <si>
    <t>   .028545</t>
  </si>
  <si>
    <t>  .0283515</t>
  </si>
  <si>
    <t>  .0371861</t>
  </si>
  <si>
    <t>  .0396721</t>
  </si>
  <si>
    <t>  .0341641</t>
  </si>
  <si>
    <t>  .0423534</t>
  </si>
  <si>
    <t>  .0402807</t>
  </si>
  <si>
    <t>    .0233846</t>
  </si>
  <si>
    <t>    .0263769</t>
  </si>
  <si>
    <t>    .0240983</t>
  </si>
  <si>
    <t>    .0220557</t>
  </si>
  <si>
    <t>    .0199467</t>
  </si>
  <si>
    <t>    .0155127</t>
  </si>
  <si>
    <t>    .0117835</t>
  </si>
  <si>
    <t>    .0132191</t>
  </si>
  <si>
    <t>    .0075446</t>
  </si>
  <si>
    <t>    .0061474</t>
  </si>
  <si>
    <t>   .031345</t>
  </si>
  <si>
    <t>  .0332564</t>
  </si>
  <si>
    <t>   .029513</t>
  </si>
  <si>
    <t>   .024236</t>
  </si>
  <si>
    <t>  .0228767</t>
  </si>
  <si>
    <t>  .0149966</t>
  </si>
  <si>
    <t>  .0106917</t>
  </si>
  <si>
    <t>  .0113963</t>
  </si>
  <si>
    <t>  .0061375</t>
  </si>
  <si>
    <t>  .0044322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</si>
</sst>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0.0%"/>
    <numFmt numFmtId="165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ourier New"/>
      <family val="3"/>
    </font>
  </fonts>
  <fills count="6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3" fillId="0" borderId="0" xfId="0" applyFont="1"/>
    <xf numFmtId="0" fontId="0" fillId="2" borderId="0" xfId="0" applyFill="1"/>
    <xf numFmtId="0" fontId="0" fillId="3" borderId="0" xfId="0" applyFill="1"/>
    <xf numFmtId="0" fontId="0" fillId="0" borderId="0" xfId="0" applyFill="1"/>
    <xf numFmtId="0" fontId="3" fillId="3" borderId="0" xfId="0" applyFont="1" applyFill="1"/>
    <xf numFmtId="0" fontId="2" fillId="0" borderId="0" xfId="0" applyFont="1"/>
    <xf numFmtId="0" fontId="4" fillId="4" borderId="0" xfId="0" applyFont="1" applyFill="1"/>
    <xf numFmtId="0" fontId="5" fillId="0" borderId="0" xfId="0" applyFont="1"/>
    <xf numFmtId="43" fontId="0" fillId="0" borderId="0" xfId="1" applyFont="1"/>
    <xf numFmtId="9" fontId="0" fillId="0" borderId="0" xfId="2" applyFont="1"/>
    <xf numFmtId="3" fontId="0" fillId="0" borderId="0" xfId="0" applyNumberFormat="1"/>
    <xf numFmtId="0" fontId="3" fillId="5" borderId="0" xfId="0" applyFont="1" applyFill="1"/>
    <xf numFmtId="0" fontId="0" fillId="5" borderId="0" xfId="0" applyFill="1"/>
    <xf numFmtId="9" fontId="0" fillId="5" borderId="0" xfId="2" applyFont="1" applyFill="1"/>
    <xf numFmtId="165" fontId="0" fillId="5" borderId="0" xfId="1" applyNumberFormat="1" applyFont="1" applyFill="1"/>
    <xf numFmtId="164" fontId="0" fillId="5" borderId="0" xfId="2" applyNumberFormat="1" applyFont="1" applyFill="1"/>
    <xf numFmtId="43" fontId="0" fillId="3" borderId="0" xfId="1" applyFont="1" applyFill="1"/>
    <xf numFmtId="43" fontId="0" fillId="5" borderId="0" xfId="1" applyFont="1" applyFill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iegdi-my.sharepoint.com/personal/daniele_malerba_die-gdi_de/Documents/data%20johannes/Copy%20of%20Inequality%20Input%20Data%20Template%20CMCC%20Settlement_Gender_dm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Copy%20of%20Inequality%20Input%20Data%20Template%20CMCC%20Settlement_Gender_d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4"/>
      <sheetName val="Sheet4 orig"/>
      <sheetName val="Inequality Input Data Template "/>
      <sheetName val="Sheet2"/>
      <sheetName val="average means"/>
    </sheetNames>
    <sheetDataSet>
      <sheetData sheetId="0">
        <row r="9">
          <cell r="B9" t="str">
            <v> .7117558</v>
          </cell>
          <cell r="C9" t="str">
            <v>  .9047161</v>
          </cell>
          <cell r="D9" t="str">
            <v>    .8384047</v>
          </cell>
          <cell r="E9" t="str">
            <v>  .8797392</v>
          </cell>
        </row>
        <row r="10">
          <cell r="B10" t="str">
            <v> .5885793</v>
          </cell>
          <cell r="C10" t="str">
            <v>  .7015218</v>
          </cell>
          <cell r="D10" t="str">
            <v>    .7875177</v>
          </cell>
          <cell r="E10" t="str">
            <v>  .8373743</v>
          </cell>
        </row>
        <row r="11">
          <cell r="B11" t="str">
            <v> .5963998</v>
          </cell>
          <cell r="C11" t="str">
            <v>  .6693142</v>
          </cell>
          <cell r="D11" t="str">
            <v>     .694117</v>
          </cell>
          <cell r="E11" t="str">
            <v>  .7433534</v>
          </cell>
        </row>
        <row r="12">
          <cell r="B12" t="str">
            <v> .4879775</v>
          </cell>
          <cell r="C12" t="str">
            <v>  .5264578</v>
          </cell>
          <cell r="D12" t="str">
            <v>    .5669838</v>
          </cell>
          <cell r="E12" t="str">
            <v>   .669021</v>
          </cell>
        </row>
        <row r="13">
          <cell r="B13" t="str">
            <v> .3906404</v>
          </cell>
          <cell r="C13" t="str">
            <v>  .3719647</v>
          </cell>
          <cell r="D13" t="str">
            <v>    .3719612</v>
          </cell>
          <cell r="E13" t="str">
            <v>  .4708526</v>
          </cell>
        </row>
        <row r="14">
          <cell r="B14" t="str">
            <v> .1977201</v>
          </cell>
          <cell r="C14" t="str">
            <v>  .2944397</v>
          </cell>
          <cell r="D14" t="str">
            <v>    .2136671</v>
          </cell>
          <cell r="E14" t="str">
            <v>  .3720574</v>
          </cell>
        </row>
        <row r="15">
          <cell r="B15" t="str">
            <v>  .148928</v>
          </cell>
          <cell r="C15" t="str">
            <v>  .2303651</v>
          </cell>
          <cell r="D15" t="str">
            <v>    .1322117</v>
          </cell>
          <cell r="E15" t="str">
            <v>  .2054214</v>
          </cell>
        </row>
        <row r="16">
          <cell r="B16" t="str">
            <v>  .124075</v>
          </cell>
          <cell r="C16" t="str">
            <v>  .2343718</v>
          </cell>
          <cell r="D16" t="str">
            <v>    .0897705</v>
          </cell>
          <cell r="E16" t="str">
            <v>  .1543214</v>
          </cell>
        </row>
        <row r="17">
          <cell r="B17" t="str">
            <v> .1469048</v>
          </cell>
          <cell r="C17" t="str">
            <v>  .1774925</v>
          </cell>
          <cell r="D17" t="str">
            <v>    .0699895</v>
          </cell>
          <cell r="E17" t="str">
            <v>  .0691398</v>
          </cell>
        </row>
        <row r="18">
          <cell r="B18" t="str">
            <v> .1815603</v>
          </cell>
          <cell r="C18" t="str">
            <v>    .29052</v>
          </cell>
          <cell r="D18" t="str">
            <v>    .0142053</v>
          </cell>
          <cell r="E18" t="str">
            <v>  .1301567</v>
          </cell>
        </row>
        <row r="28">
          <cell r="B28" t="str">
            <v> .2639931</v>
          </cell>
          <cell r="C28" t="str">
            <v>   .093416</v>
          </cell>
          <cell r="D28" t="str">
            <v>    .1543874</v>
          </cell>
          <cell r="E28" t="str">
            <v>  .1202607</v>
          </cell>
        </row>
        <row r="29">
          <cell r="B29" t="str">
            <v> .3926098</v>
          </cell>
          <cell r="C29" t="str">
            <v>  .2924803</v>
          </cell>
          <cell r="D29" t="str">
            <v>    .2124822</v>
          </cell>
          <cell r="E29" t="str">
            <v>  .1626257</v>
          </cell>
        </row>
        <row r="30">
          <cell r="B30" t="str">
            <v> .3835295</v>
          </cell>
          <cell r="C30" t="str">
            <v>  .3191197</v>
          </cell>
          <cell r="D30" t="str">
            <v>    .3029905</v>
          </cell>
          <cell r="E30" t="str">
            <v>  .2537808</v>
          </cell>
        </row>
        <row r="31">
          <cell r="B31" t="str">
            <v> .4640734</v>
          </cell>
          <cell r="C31" t="str">
            <v>  .4563737</v>
          </cell>
          <cell r="D31" t="str">
            <v>    .4329714</v>
          </cell>
          <cell r="E31" t="str">
            <v>  .3309099</v>
          </cell>
        </row>
        <row r="32">
          <cell r="B32" t="str">
            <v> .5658809</v>
          </cell>
          <cell r="C32" t="str">
            <v>  .6086994</v>
          </cell>
          <cell r="D32" t="str">
            <v>    .6168501</v>
          </cell>
          <cell r="E32" t="str">
            <v>  .5211672</v>
          </cell>
        </row>
        <row r="33">
          <cell r="B33" t="str">
            <v> .7926562</v>
          </cell>
          <cell r="C33" t="str">
            <v>  .6911916</v>
          </cell>
          <cell r="D33" t="str">
            <v>    .7845678</v>
          </cell>
          <cell r="E33" t="str">
            <v>  .6229135</v>
          </cell>
        </row>
        <row r="34">
          <cell r="B34" t="str">
            <v> .8393485</v>
          </cell>
          <cell r="C34" t="str">
            <v>  .7577714</v>
          </cell>
          <cell r="D34" t="str">
            <v>    .8629686</v>
          </cell>
          <cell r="E34" t="str">
            <v>  .7938107</v>
          </cell>
        </row>
        <row r="35">
          <cell r="B35" t="str">
            <v> .8692678</v>
          </cell>
          <cell r="C35" t="str">
            <v>  .7420709</v>
          </cell>
          <cell r="D35" t="str">
            <v>    .9029188</v>
          </cell>
          <cell r="E35" t="str">
            <v>  .8319681</v>
          </cell>
        </row>
        <row r="36">
          <cell r="B36" t="str">
            <v> .8408395</v>
          </cell>
          <cell r="C36" t="str">
            <v>  .7971953</v>
          </cell>
          <cell r="D36" t="str">
            <v>    .9293057</v>
          </cell>
          <cell r="E36" t="str">
            <v>  .9216399</v>
          </cell>
        </row>
        <row r="37">
          <cell r="B37" t="str">
            <v> .8037068</v>
          </cell>
          <cell r="C37" t="str">
            <v>  .6921709</v>
          </cell>
          <cell r="D37" t="str">
            <v>    .9795852</v>
          </cell>
          <cell r="E37" t="str">
            <v>  .8620815</v>
          </cell>
        </row>
        <row r="47">
          <cell r="B47" t="str">
            <v>  .024251</v>
          </cell>
          <cell r="C47" t="str">
            <v>  .0018678</v>
          </cell>
          <cell r="D47" t="str">
            <v>    .0072079</v>
          </cell>
          <cell r="E47" t="str">
            <v>         0</v>
          </cell>
        </row>
        <row r="48">
          <cell r="B48" t="str">
            <v> .0188109</v>
          </cell>
          <cell r="C48" t="str">
            <v>  .0059979</v>
          </cell>
          <cell r="D48" t="str">
            <v>           0</v>
          </cell>
          <cell r="E48" t="str">
            <v>         0</v>
          </cell>
        </row>
        <row r="49">
          <cell r="B49" t="str">
            <v> .0200707</v>
          </cell>
          <cell r="C49" t="str">
            <v>   .011566</v>
          </cell>
          <cell r="D49" t="str">
            <v>    .0028926</v>
          </cell>
          <cell r="E49" t="str">
            <v>  .0028658</v>
          </cell>
        </row>
        <row r="50">
          <cell r="B50" t="str">
            <v> .0479491</v>
          </cell>
          <cell r="C50" t="str">
            <v>  .0171685</v>
          </cell>
          <cell r="D50" t="str">
            <v>    .0000448</v>
          </cell>
          <cell r="E50" t="str">
            <v>  .0000691</v>
          </cell>
        </row>
        <row r="51">
          <cell r="B51" t="str">
            <v> .0434787</v>
          </cell>
          <cell r="C51" t="str">
            <v>   .019336</v>
          </cell>
          <cell r="D51" t="str">
            <v>    .0111887</v>
          </cell>
          <cell r="E51" t="str">
            <v>  .0079801</v>
          </cell>
        </row>
        <row r="52">
          <cell r="B52" t="str">
            <v> .0096238</v>
          </cell>
          <cell r="C52" t="str">
            <v>  .0143687</v>
          </cell>
          <cell r="D52" t="str">
            <v>    .0017651</v>
          </cell>
          <cell r="E52" t="str">
            <v>   .005029</v>
          </cell>
        </row>
        <row r="53">
          <cell r="B53" t="str">
            <v> .0117236</v>
          </cell>
          <cell r="C53" t="str">
            <v>  .0118634</v>
          </cell>
          <cell r="D53" t="str">
            <v>    .0048197</v>
          </cell>
          <cell r="E53" t="str">
            <v>  .0007678</v>
          </cell>
        </row>
        <row r="54">
          <cell r="B54" t="str">
            <v> .0066573</v>
          </cell>
          <cell r="C54" t="str">
            <v>  .0235573</v>
          </cell>
          <cell r="D54" t="str">
            <v>    .0073106</v>
          </cell>
          <cell r="E54" t="str">
            <v>  .0137105</v>
          </cell>
        </row>
        <row r="55">
          <cell r="B55" t="str">
            <v> .0122558</v>
          </cell>
          <cell r="C55" t="str">
            <v>  .0253123</v>
          </cell>
          <cell r="D55" t="str">
            <v>    .0007048</v>
          </cell>
          <cell r="E55" t="str">
            <v>  .0092203</v>
          </cell>
        </row>
        <row r="56">
          <cell r="B56" t="str">
            <v> .0147329</v>
          </cell>
          <cell r="C56" t="str">
            <v>   .017309</v>
          </cell>
          <cell r="D56" t="str">
            <v>    .0062095</v>
          </cell>
          <cell r="E56" t="str">
            <v>  .0077618</v>
          </cell>
        </row>
        <row r="86">
          <cell r="B86" t="str">
            <v> .0134257</v>
          </cell>
          <cell r="C86" t="str">
            <v>  .0207898</v>
          </cell>
          <cell r="D86" t="str">
            <v>     .033009</v>
          </cell>
          <cell r="E86" t="str">
            <v>  .0601452</v>
          </cell>
        </row>
        <row r="87">
          <cell r="B87" t="str">
            <v> .0124434</v>
          </cell>
          <cell r="C87" t="str">
            <v>  .0422433</v>
          </cell>
          <cell r="D87" t="str">
            <v>    .0418936</v>
          </cell>
          <cell r="E87" t="str">
            <v>  .0763023</v>
          </cell>
        </row>
        <row r="88">
          <cell r="B88" t="str">
            <v> .0200035</v>
          </cell>
          <cell r="C88" t="str">
            <v>  .0239271</v>
          </cell>
          <cell r="D88" t="str">
            <v>    .0455349</v>
          </cell>
          <cell r="E88" t="str">
            <v>  .1030015</v>
          </cell>
        </row>
        <row r="89">
          <cell r="B89" t="str">
            <v> .0199073</v>
          </cell>
          <cell r="C89" t="str">
            <v>  .0257807</v>
          </cell>
          <cell r="D89" t="str">
            <v>    .0712718</v>
          </cell>
          <cell r="E89" t="str">
            <v>  .1035622</v>
          </cell>
        </row>
        <row r="90">
          <cell r="B90" t="str">
            <v> .0338028</v>
          </cell>
          <cell r="C90" t="str">
            <v>  .0371775</v>
          </cell>
          <cell r="D90" t="str">
            <v>    .0386493</v>
          </cell>
          <cell r="E90" t="str">
            <v>    .08443</v>
          </cell>
        </row>
        <row r="91">
          <cell r="B91" t="str">
            <v> .0207404</v>
          </cell>
          <cell r="C91" t="str">
            <v>  .0301852</v>
          </cell>
          <cell r="D91" t="str">
            <v>    .0501481</v>
          </cell>
          <cell r="E91" t="str">
            <v>  .0704002</v>
          </cell>
        </row>
        <row r="92">
          <cell r="B92" t="str">
            <v> .0097371</v>
          </cell>
          <cell r="C92" t="str">
            <v>  .0191024</v>
          </cell>
          <cell r="D92" t="str">
            <v>    .0314537</v>
          </cell>
          <cell r="E92" t="str">
            <v>  .0725448</v>
          </cell>
        </row>
        <row r="93">
          <cell r="B93" t="str">
            <v> .0106302</v>
          </cell>
          <cell r="C93" t="str">
            <v>  .0096436</v>
          </cell>
          <cell r="D93" t="str">
            <v>    .0313585</v>
          </cell>
          <cell r="E93" t="str">
            <v>  .0534936</v>
          </cell>
        </row>
        <row r="94">
          <cell r="B94" t="str">
            <v> .0048852</v>
          </cell>
          <cell r="C94" t="str">
            <v>  .0081547</v>
          </cell>
          <cell r="D94" t="str">
            <v>    .0007613</v>
          </cell>
          <cell r="E94" t="str">
            <v>  .0157308</v>
          </cell>
        </row>
        <row r="95">
          <cell r="B95" t="str">
            <v> .0000709</v>
          </cell>
          <cell r="C95" t="str">
            <v>  .0035083</v>
          </cell>
          <cell r="D95" t="str">
            <v>           0</v>
          </cell>
          <cell r="E95" t="str">
            <v>  .0149781</v>
          </cell>
        </row>
        <row r="105">
          <cell r="B105" t="str">
            <v> .0918914</v>
          </cell>
          <cell r="C105" t="str">
            <v>  .1067881</v>
          </cell>
          <cell r="D105" t="str">
            <v>    .1112782</v>
          </cell>
          <cell r="E105" t="str">
            <v>   .112596</v>
          </cell>
        </row>
        <row r="106">
          <cell r="B106" t="str">
            <v> .1288495</v>
          </cell>
          <cell r="C106" t="str">
            <v>  .1086006</v>
          </cell>
          <cell r="D106" t="str">
            <v>    .1230495</v>
          </cell>
          <cell r="E106" t="str">
            <v>  .1288983</v>
          </cell>
        </row>
        <row r="107">
          <cell r="B107" t="str">
            <v> .0935876</v>
          </cell>
          <cell r="C107" t="str">
            <v>  .1459014</v>
          </cell>
          <cell r="D107" t="str">
            <v>     .160447</v>
          </cell>
          <cell r="E107" t="str">
            <v>  .1174662</v>
          </cell>
        </row>
        <row r="108">
          <cell r="B108" t="str">
            <v> .1525931</v>
          </cell>
          <cell r="C108" t="str">
            <v>  .1435462</v>
          </cell>
          <cell r="D108" t="str">
            <v>    .1556792</v>
          </cell>
          <cell r="E108" t="str">
            <v>  .1384532</v>
          </cell>
        </row>
        <row r="109">
          <cell r="B109" t="str">
            <v> .0833421</v>
          </cell>
          <cell r="C109" t="str">
            <v>  .1010928</v>
          </cell>
          <cell r="D109" t="str">
            <v>    .1638108</v>
          </cell>
          <cell r="E109" t="str">
            <v>  .1125801</v>
          </cell>
        </row>
        <row r="110">
          <cell r="B110" t="str">
            <v> .0643081</v>
          </cell>
          <cell r="C110" t="str">
            <v>   .076294</v>
          </cell>
          <cell r="D110" t="str">
            <v>    .1094314</v>
          </cell>
          <cell r="E110" t="str">
            <v>  .0940542</v>
          </cell>
        </row>
        <row r="111">
          <cell r="B111" t="str">
            <v> .0544664</v>
          </cell>
          <cell r="C111" t="str">
            <v>  .0602273</v>
          </cell>
          <cell r="D111" t="str">
            <v>      .11859</v>
          </cell>
          <cell r="E111" t="str">
            <v>  .0965341</v>
          </cell>
        </row>
        <row r="112">
          <cell r="B112" t="str">
            <v> .0448712</v>
          </cell>
          <cell r="C112" t="str">
            <v>   .036825</v>
          </cell>
          <cell r="D112" t="str">
            <v>    .1040874</v>
          </cell>
          <cell r="E112" t="str">
            <v>  .0694058</v>
          </cell>
        </row>
        <row r="113">
          <cell r="B113" t="str">
            <v> .0335425</v>
          </cell>
          <cell r="C113" t="str">
            <v>  .0192913</v>
          </cell>
          <cell r="D113" t="str">
            <v>    .0670406</v>
          </cell>
          <cell r="E113" t="str">
            <v>  .0518099</v>
          </cell>
        </row>
        <row r="114">
          <cell r="B114" t="str">
            <v> .0075405</v>
          </cell>
          <cell r="C114" t="str">
            <v>  .0047817</v>
          </cell>
          <cell r="D114" t="str">
            <v>    .0090739</v>
          </cell>
          <cell r="E114" t="str">
            <v>  .0088237</v>
          </cell>
        </row>
        <row r="124">
          <cell r="B124" t="str">
            <v> .5191272</v>
          </cell>
          <cell r="C124" t="str">
            <v>  .5440938</v>
          </cell>
          <cell r="D124" t="str">
            <v>    .3809658</v>
          </cell>
          <cell r="E124" t="str">
            <v>  .4390749</v>
          </cell>
        </row>
        <row r="125">
          <cell r="B125" t="str">
            <v> .4770922</v>
          </cell>
          <cell r="C125" t="str">
            <v>  .5397768</v>
          </cell>
          <cell r="D125" t="str">
            <v>    .3291599</v>
          </cell>
          <cell r="E125" t="str">
            <v>   .424956</v>
          </cell>
        </row>
        <row r="126">
          <cell r="B126" t="str">
            <v>  .476705</v>
          </cell>
          <cell r="C126" t="str">
            <v>   .517786</v>
          </cell>
          <cell r="D126" t="str">
            <v>    .3247711</v>
          </cell>
          <cell r="E126" t="str">
            <v>  .3984894</v>
          </cell>
        </row>
        <row r="127">
          <cell r="B127" t="str">
            <v> .4752169</v>
          </cell>
          <cell r="C127" t="str">
            <v>  .5553604</v>
          </cell>
          <cell r="D127" t="str">
            <v>    .4108469</v>
          </cell>
          <cell r="E127" t="str">
            <v>  .4099291</v>
          </cell>
        </row>
        <row r="128">
          <cell r="B128" t="str">
            <v> .5659205</v>
          </cell>
          <cell r="C128" t="str">
            <v>  .6199772</v>
          </cell>
          <cell r="D128" t="str">
            <v>    .4206511</v>
          </cell>
          <cell r="E128" t="str">
            <v>  .4511358</v>
          </cell>
        </row>
        <row r="129">
          <cell r="B129" t="str">
            <v> .5781291</v>
          </cell>
          <cell r="C129" t="str">
            <v>   .625471</v>
          </cell>
          <cell r="D129" t="str">
            <v>    .5006788</v>
          </cell>
          <cell r="E129" t="str">
            <v>  .5263981</v>
          </cell>
        </row>
        <row r="130">
          <cell r="B130" t="str">
            <v> .6816905</v>
          </cell>
          <cell r="C130" t="str">
            <v>  .6250821</v>
          </cell>
          <cell r="D130" t="str">
            <v>    .6329171</v>
          </cell>
          <cell r="E130" t="str">
            <v>  .5305836</v>
          </cell>
        </row>
        <row r="131">
          <cell r="B131" t="str">
            <v>  .688844</v>
          </cell>
          <cell r="C131" t="str">
            <v>  .6691331</v>
          </cell>
          <cell r="D131" t="str">
            <v>    .6337094</v>
          </cell>
          <cell r="E131" t="str">
            <v>  .5591522</v>
          </cell>
        </row>
        <row r="132">
          <cell r="B132" t="str">
            <v> .6752887</v>
          </cell>
          <cell r="C132" t="str">
            <v>  .6409557</v>
          </cell>
          <cell r="D132" t="str">
            <v>    .6184614</v>
          </cell>
          <cell r="E132" t="str">
            <v>   .601413</v>
          </cell>
        </row>
        <row r="133">
          <cell r="B133" t="str">
            <v> .5792028</v>
          </cell>
          <cell r="C133" t="str">
            <v>   .546287</v>
          </cell>
          <cell r="D133" t="str">
            <v>    .7500513</v>
          </cell>
          <cell r="E133" t="str">
            <v>   .496407</v>
          </cell>
        </row>
        <row r="143">
          <cell r="B143" t="str">
            <v> .0144976</v>
          </cell>
          <cell r="C143" t="str">
            <v>  .0081016</v>
          </cell>
          <cell r="D143" t="str">
            <v>    .0005501</v>
          </cell>
          <cell r="E143" t="str">
            <v>  .0006319</v>
          </cell>
        </row>
        <row r="144">
          <cell r="B144" t="str">
            <v>  .004134</v>
          </cell>
          <cell r="C144" t="str">
            <v>         0</v>
          </cell>
          <cell r="D144" t="str">
            <v>    .0019881</v>
          </cell>
          <cell r="E144" t="str">
            <v>   .000428</v>
          </cell>
        </row>
        <row r="145">
          <cell r="B145" t="str">
            <v> .0019143</v>
          </cell>
          <cell r="C145" t="str">
            <v>  .0035172</v>
          </cell>
          <cell r="D145" t="str">
            <v>    .0005795</v>
          </cell>
          <cell r="E145" t="str">
            <v>  .0067854</v>
          </cell>
        </row>
        <row r="146">
          <cell r="B146" t="str">
            <v> .0049255</v>
          </cell>
          <cell r="C146" t="str">
            <v>  .0087976</v>
          </cell>
          <cell r="D146" t="str">
            <v>    .0015173</v>
          </cell>
          <cell r="E146" t="str">
            <v>  .0014047</v>
          </cell>
        </row>
        <row r="147">
          <cell r="B147" t="str">
            <v> .0107163</v>
          </cell>
          <cell r="C147" t="str">
            <v>  .0021772</v>
          </cell>
          <cell r="D147" t="str">
            <v>    .0003304</v>
          </cell>
          <cell r="E147" t="str">
            <v>  .0042794</v>
          </cell>
        </row>
        <row r="148">
          <cell r="B148" t="str">
            <v> .0034351</v>
          </cell>
          <cell r="C148" t="str">
            <v>  .0057134</v>
          </cell>
          <cell r="D148" t="str">
            <v>    .0039387</v>
          </cell>
          <cell r="E148" t="str">
            <v>  .0025483</v>
          </cell>
        </row>
        <row r="149">
          <cell r="B149" t="str">
            <v> .0089253</v>
          </cell>
          <cell r="C149" t="str">
            <v>  .0144875</v>
          </cell>
          <cell r="D149" t="str">
            <v>    .0053211</v>
          </cell>
          <cell r="E149" t="str">
            <v>  .0068568</v>
          </cell>
        </row>
        <row r="150">
          <cell r="B150" t="str">
            <v> .0297633</v>
          </cell>
          <cell r="C150" t="str">
            <v>  .0417379</v>
          </cell>
          <cell r="D150" t="str">
            <v>    .0169176</v>
          </cell>
          <cell r="E150" t="str">
            <v>  .0230816</v>
          </cell>
        </row>
        <row r="151">
          <cell r="B151" t="str">
            <v> .0718662</v>
          </cell>
          <cell r="C151" t="str">
            <v>  .0825282</v>
          </cell>
          <cell r="D151" t="str">
            <v>    .0252116</v>
          </cell>
          <cell r="E151" t="str">
            <v>  .0689477</v>
          </cell>
        </row>
        <row r="152">
          <cell r="B152" t="str">
            <v> .2158178</v>
          </cell>
          <cell r="C152" t="str">
            <v>  .2373507</v>
          </cell>
          <cell r="D152" t="str">
            <v>    .0885184</v>
          </cell>
          <cell r="E152" t="str">
            <v>  .3025097</v>
          </cell>
        </row>
        <row r="162">
          <cell r="B162" t="str">
            <v>        .026602</v>
          </cell>
        </row>
        <row r="163">
          <cell r="B163" t="str">
            <v>       .0225949</v>
          </cell>
        </row>
        <row r="164">
          <cell r="B164" t="str">
            <v>       .0271982</v>
          </cell>
        </row>
        <row r="165">
          <cell r="B165" t="str">
            <v>       .0338745</v>
          </cell>
        </row>
        <row r="166">
          <cell r="B166" t="str">
            <v>       .0407001</v>
          </cell>
        </row>
        <row r="167">
          <cell r="B167" t="str">
            <v>       .0507872</v>
          </cell>
        </row>
        <row r="168">
          <cell r="B168" t="str">
            <v>       .0707795</v>
          </cell>
        </row>
        <row r="169">
          <cell r="B169" t="str">
            <v>       .0994302</v>
          </cell>
        </row>
        <row r="170">
          <cell r="B170" t="str">
            <v>       .1819585</v>
          </cell>
        </row>
        <row r="171">
          <cell r="B171" t="str">
            <v>       .4460748</v>
          </cell>
        </row>
        <row r="179">
          <cell r="B179" t="str">
            <v>        .026602</v>
          </cell>
        </row>
        <row r="180">
          <cell r="B180" t="str">
            <v>       .0225949</v>
          </cell>
        </row>
        <row r="181">
          <cell r="B181" t="str">
            <v>       .0271982</v>
          </cell>
        </row>
        <row r="182">
          <cell r="B182" t="str">
            <v>       .0338745</v>
          </cell>
        </row>
        <row r="183">
          <cell r="B183" t="str">
            <v>       .0407001</v>
          </cell>
        </row>
        <row r="184">
          <cell r="B184" t="str">
            <v>       .0507872</v>
          </cell>
        </row>
        <row r="185">
          <cell r="B185" t="str">
            <v>       .0707795</v>
          </cell>
        </row>
        <row r="186">
          <cell r="B186" t="str">
            <v>       .0994302</v>
          </cell>
        </row>
        <row r="187">
          <cell r="B187" t="str">
            <v>       .1819585</v>
          </cell>
        </row>
        <row r="188">
          <cell r="B188" t="str">
            <v>       .4460748</v>
          </cell>
        </row>
        <row r="198">
          <cell r="B198" t="str">
            <v> 9632.074</v>
          </cell>
          <cell r="C198" t="str">
            <v>  9570.435</v>
          </cell>
          <cell r="D198" t="str">
            <v>    4810.439</v>
          </cell>
          <cell r="E198" t="str">
            <v>  4259.304</v>
          </cell>
        </row>
        <row r="199">
          <cell r="B199" t="str">
            <v> 8088.208</v>
          </cell>
          <cell r="C199" t="str">
            <v>  7044.376</v>
          </cell>
          <cell r="D199" t="str">
            <v>    4658.385</v>
          </cell>
          <cell r="E199" t="str">
            <v>  4548.655</v>
          </cell>
        </row>
        <row r="200">
          <cell r="B200" t="str">
            <v> 9001.304</v>
          </cell>
          <cell r="C200" t="str">
            <v>  8577.195</v>
          </cell>
          <cell r="D200" t="str">
            <v>    5673.021</v>
          </cell>
          <cell r="E200" t="str">
            <v>  5167.555</v>
          </cell>
        </row>
        <row r="201">
          <cell r="B201" t="str">
            <v> 10701.02</v>
          </cell>
          <cell r="C201" t="str">
            <v>   9879.77</v>
          </cell>
          <cell r="D201" t="str">
            <v>    6996.197</v>
          </cell>
          <cell r="E201" t="str">
            <v>  6268.843</v>
          </cell>
        </row>
        <row r="202">
          <cell r="B202" t="str">
            <v> 13119.31</v>
          </cell>
          <cell r="C202" t="str">
            <v>  12284.27</v>
          </cell>
          <cell r="D202" t="str">
            <v>    7963.735</v>
          </cell>
          <cell r="E202" t="str">
            <v>  7346.054</v>
          </cell>
        </row>
        <row r="203">
          <cell r="B203" t="str">
            <v> 14734.73</v>
          </cell>
          <cell r="C203" t="str">
            <v>  14110.65</v>
          </cell>
          <cell r="D203" t="str">
            <v>    10517.43</v>
          </cell>
          <cell r="E203" t="str">
            <v>  9036.391</v>
          </cell>
        </row>
        <row r="204">
          <cell r="B204" t="str">
            <v> 21526.24</v>
          </cell>
          <cell r="C204" t="str">
            <v>  17449.25</v>
          </cell>
          <cell r="D204" t="str">
            <v>    15955.92</v>
          </cell>
          <cell r="E204" t="str">
            <v>  10979.97</v>
          </cell>
        </row>
        <row r="205">
          <cell r="B205" t="str">
            <v> 29100.97</v>
          </cell>
          <cell r="C205" t="str">
            <v>  27212.48</v>
          </cell>
          <cell r="D205" t="str">
            <v>    18038.29</v>
          </cell>
          <cell r="E205" t="str">
            <v>  15567.43</v>
          </cell>
        </row>
        <row r="206">
          <cell r="B206" t="str">
            <v> 47904.24</v>
          </cell>
          <cell r="C206" t="str">
            <v>  50226.39</v>
          </cell>
          <cell r="D206" t="str">
            <v>    30894.42</v>
          </cell>
          <cell r="E206" t="str">
            <v>  28382.12</v>
          </cell>
        </row>
        <row r="207">
          <cell r="B207" t="str">
            <v> 128440.3</v>
          </cell>
          <cell r="C207" t="str">
            <v>  111883.1</v>
          </cell>
          <cell r="D207" t="str">
            <v>    66897.08</v>
          </cell>
          <cell r="E207" t="str">
            <v>  52937.93</v>
          </cell>
        </row>
        <row r="235">
          <cell r="B235" t="str">
            <v>       .0047015</v>
          </cell>
        </row>
        <row r="236">
          <cell r="B236" t="str">
            <v>       .0094298</v>
          </cell>
        </row>
        <row r="237">
          <cell r="B237" t="str">
            <v>       .0142255</v>
          </cell>
        </row>
        <row r="238">
          <cell r="B238" t="str">
            <v>       .0206116</v>
          </cell>
        </row>
        <row r="239">
          <cell r="B239" t="str">
            <v>       .0279395</v>
          </cell>
        </row>
        <row r="240">
          <cell r="B240" t="str">
            <v>       .0396804</v>
          </cell>
        </row>
        <row r="241">
          <cell r="B241" t="str">
            <v>       .0594067</v>
          </cell>
        </row>
        <row r="242">
          <cell r="B242" t="str">
            <v>       .0926416</v>
          </cell>
        </row>
        <row r="243">
          <cell r="B243" t="str">
            <v>       .1722009</v>
          </cell>
        </row>
        <row r="244">
          <cell r="B244" t="str">
            <v>       .5591626</v>
          </cell>
        </row>
        <row r="309">
          <cell r="B309" t="str">
            <v> 2684.616</v>
          </cell>
          <cell r="C309" t="str">
            <v>  2590.993</v>
          </cell>
          <cell r="D309" t="str">
            <v>    2337.575</v>
          </cell>
          <cell r="E309" t="str">
            <v>  2608.158</v>
          </cell>
        </row>
        <row r="310">
          <cell r="B310" t="str">
            <v> 4951.891</v>
          </cell>
          <cell r="C310" t="str">
            <v>   5782.54</v>
          </cell>
          <cell r="D310" t="str">
            <v>    4570.478</v>
          </cell>
          <cell r="E310" t="str">
            <v>  5249.417</v>
          </cell>
        </row>
        <row r="311">
          <cell r="B311" t="str">
            <v> 7573.351</v>
          </cell>
          <cell r="C311" t="str">
            <v>  8803.808</v>
          </cell>
          <cell r="D311" t="str">
            <v>     7034.99</v>
          </cell>
          <cell r="E311" t="str">
            <v>   7547.84</v>
          </cell>
        </row>
        <row r="312">
          <cell r="B312" t="str">
            <v> 11059.52</v>
          </cell>
          <cell r="C312" t="str">
            <v>  11657.85</v>
          </cell>
          <cell r="D312" t="str">
            <v>     11499.9</v>
          </cell>
          <cell r="E312" t="str">
            <v>  10193.37</v>
          </cell>
        </row>
        <row r="313">
          <cell r="B313" t="str">
            <v> 16260.21</v>
          </cell>
          <cell r="C313" t="str">
            <v>  15777.56</v>
          </cell>
          <cell r="D313" t="str">
            <v>    15369.03</v>
          </cell>
          <cell r="E313" t="str">
            <v>  13643.99</v>
          </cell>
        </row>
        <row r="314">
          <cell r="B314" t="str">
            <v>  24306.8</v>
          </cell>
          <cell r="C314" t="str">
            <v>  19794.84</v>
          </cell>
          <cell r="D314" t="str">
            <v>    23447.81</v>
          </cell>
          <cell r="E314" t="str">
            <v>  18222.79</v>
          </cell>
        </row>
        <row r="315">
          <cell r="B315" t="str">
            <v>  39210.8</v>
          </cell>
          <cell r="C315" t="str">
            <v>  26364.04</v>
          </cell>
          <cell r="D315" t="str">
            <v>    37471.51</v>
          </cell>
          <cell r="E315" t="str">
            <v>  24549.47</v>
          </cell>
        </row>
        <row r="316">
          <cell r="B316" t="str">
            <v> 59409.84</v>
          </cell>
          <cell r="C316" t="str">
            <v>  41526.88</v>
          </cell>
          <cell r="D316" t="str">
            <v>    57891.65</v>
          </cell>
          <cell r="E316" t="str">
            <v>  35844.53</v>
          </cell>
        </row>
        <row r="317">
          <cell r="B317" t="str">
            <v>   103233</v>
          </cell>
          <cell r="C317" t="str">
            <v>   83963.1</v>
          </cell>
          <cell r="D317" t="str">
            <v>    104796.6</v>
          </cell>
          <cell r="E317" t="str">
            <v>   73162.6</v>
          </cell>
        </row>
        <row r="318">
          <cell r="B318" t="str">
            <v> 356500.2</v>
          </cell>
          <cell r="C318" t="str">
            <v>    251770</v>
          </cell>
          <cell r="D318" t="str">
            <v>    342366.4</v>
          </cell>
          <cell r="E318" t="str">
            <v>  178674.5</v>
          </cell>
        </row>
        <row r="332">
          <cell r="B332" t="str">
            <v> .0217737</v>
          </cell>
          <cell r="C332" t="str">
            <v>  .0235248</v>
          </cell>
          <cell r="D332" t="str">
            <v>    .0233846</v>
          </cell>
          <cell r="E332" t="str">
            <v>   .031345</v>
          </cell>
        </row>
        <row r="333">
          <cell r="B333" t="str">
            <v>  .018788</v>
          </cell>
          <cell r="C333" t="str">
            <v>   .021606</v>
          </cell>
          <cell r="D333" t="str">
            <v>    .0263769</v>
          </cell>
          <cell r="E333" t="str">
            <v>  .0332564</v>
          </cell>
        </row>
        <row r="334">
          <cell r="B334" t="str">
            <v> .0215466</v>
          </cell>
          <cell r="C334" t="str">
            <v>  .0248282</v>
          </cell>
          <cell r="D334" t="str">
            <v>    .0240983</v>
          </cell>
          <cell r="E334" t="str">
            <v>   .029513</v>
          </cell>
        </row>
        <row r="335">
          <cell r="B335" t="str">
            <v> .0260486</v>
          </cell>
          <cell r="C335" t="str">
            <v>   .028545</v>
          </cell>
          <cell r="D335" t="str">
            <v>    .0220557</v>
          </cell>
          <cell r="E335" t="str">
            <v>   .024236</v>
          </cell>
        </row>
        <row r="336">
          <cell r="B336" t="str">
            <v> .0279373</v>
          </cell>
          <cell r="C336" t="str">
            <v>  .0283515</v>
          </cell>
          <cell r="D336" t="str">
            <v>    .0199467</v>
          </cell>
          <cell r="E336" t="str">
            <v>  .0228767</v>
          </cell>
        </row>
        <row r="337">
          <cell r="B337" t="str">
            <v> .0323376</v>
          </cell>
          <cell r="C337" t="str">
            <v>  .0371861</v>
          </cell>
          <cell r="D337" t="str">
            <v>    .0155127</v>
          </cell>
          <cell r="E337" t="str">
            <v>  .0149966</v>
          </cell>
        </row>
        <row r="338">
          <cell r="B338" t="str">
            <v> .0378101</v>
          </cell>
          <cell r="C338" t="str">
            <v>  .0396721</v>
          </cell>
          <cell r="D338" t="str">
            <v>    .0117835</v>
          </cell>
          <cell r="E338" t="str">
            <v>  .0106917</v>
          </cell>
        </row>
        <row r="339">
          <cell r="B339" t="str">
            <v> .0412124</v>
          </cell>
          <cell r="C339" t="str">
            <v>  .0341641</v>
          </cell>
          <cell r="D339" t="str">
            <v>    .0132191</v>
          </cell>
          <cell r="E339" t="str">
            <v>  .0113963</v>
          </cell>
        </row>
        <row r="340">
          <cell r="B340" t="str">
            <v> .0443093</v>
          </cell>
          <cell r="C340" t="str">
            <v>  .0423534</v>
          </cell>
          <cell r="D340" t="str">
            <v>    .0075446</v>
          </cell>
          <cell r="E340" t="str">
            <v>  .0061375</v>
          </cell>
        </row>
        <row r="341">
          <cell r="B341" t="str">
            <v> .0487734</v>
          </cell>
          <cell r="C341" t="str">
            <v>  .0402807</v>
          </cell>
          <cell r="D341" t="str">
            <v>    .0061474</v>
          </cell>
          <cell r="E341" t="str">
            <v>  .0044322</v>
          </cell>
        </row>
        <row r="352">
          <cell r="B352" t="str">
            <v>   735</v>
          </cell>
          <cell r="C352" t="str">
            <v>    981</v>
          </cell>
          <cell r="D352" t="str">
            <v>    1,248</v>
          </cell>
          <cell r="E352" t="str">
            <v>  1,719</v>
          </cell>
        </row>
        <row r="353">
          <cell r="B353" t="str">
            <v>   710</v>
          </cell>
          <cell r="C353" t="str">
            <v>    886</v>
          </cell>
          <cell r="D353" t="str">
            <v>    1,555</v>
          </cell>
          <cell r="E353" t="str">
            <v>  2,195</v>
          </cell>
        </row>
        <row r="354">
          <cell r="B354" t="str">
            <v>   840</v>
          </cell>
          <cell r="C354" t="str">
            <v>  1,111</v>
          </cell>
          <cell r="D354" t="str">
            <v>    1,373</v>
          </cell>
          <cell r="E354" t="str">
            <v>  1,751</v>
          </cell>
        </row>
        <row r="355">
          <cell r="B355" t="str">
            <v>   861</v>
          </cell>
          <cell r="C355" t="str">
            <v>  1,038</v>
          </cell>
          <cell r="D355" t="str">
            <v>    1,086</v>
          </cell>
          <cell r="E355" t="str">
            <v>  1,423</v>
          </cell>
        </row>
        <row r="356">
          <cell r="B356" t="str">
            <v> 1,096</v>
          </cell>
          <cell r="C356" t="str">
            <v>  1,211</v>
          </cell>
          <cell r="D356" t="str">
            <v>    1,008</v>
          </cell>
          <cell r="E356" t="str">
            <v>  1,260</v>
          </cell>
        </row>
        <row r="357">
          <cell r="B357" t="str">
            <v> 1,034</v>
          </cell>
          <cell r="C357" t="str">
            <v>  1,289</v>
          </cell>
          <cell r="D357" t="str">
            <v>      753</v>
          </cell>
          <cell r="E357" t="str">
            <v>    875</v>
          </cell>
        </row>
        <row r="358">
          <cell r="B358" t="str">
            <v> 1,177</v>
          </cell>
          <cell r="C358" t="str">
            <v>  1,362</v>
          </cell>
          <cell r="D358" t="str">
            <v>      518</v>
          </cell>
          <cell r="E358" t="str">
            <v>    586</v>
          </cell>
        </row>
        <row r="359">
          <cell r="B359" t="str">
            <v> 1,097</v>
          </cell>
          <cell r="C359" t="str">
            <v>  1,091</v>
          </cell>
          <cell r="D359" t="str">
            <v>      520</v>
          </cell>
          <cell r="E359" t="str">
            <v>    532</v>
          </cell>
        </row>
        <row r="360">
          <cell r="B360" t="str">
            <v> 1,121</v>
          </cell>
          <cell r="C360" t="str">
            <v>  1,155</v>
          </cell>
          <cell r="D360" t="str">
            <v>      270</v>
          </cell>
          <cell r="E360" t="str">
            <v>    284</v>
          </cell>
        </row>
        <row r="361">
          <cell r="B361" t="str">
            <v> 1,093</v>
          </cell>
          <cell r="C361" t="str">
            <v>  1,049</v>
          </cell>
          <cell r="D361" t="str">
            <v>      155</v>
          </cell>
          <cell r="E361" t="str">
            <v>    123</v>
          </cell>
        </row>
        <row r="372">
          <cell r="B372" t="str">
            <v> 3.89495277404785</v>
          </cell>
          <cell r="C372" t="str">
            <v>  4.50353813171387</v>
          </cell>
          <cell r="D372" t="str">
            <v>    5.63010168075562</v>
          </cell>
          <cell r="E372" t="str">
            <v>  5.82853221893311</v>
          </cell>
        </row>
        <row r="373">
          <cell r="B373" t="str">
            <v> 4.90121030807495</v>
          </cell>
          <cell r="C373" t="str">
            <v>  5.34543180465698</v>
          </cell>
          <cell r="D373" t="str">
            <v>    6.48301410675049</v>
          </cell>
          <cell r="E373" t="str">
            <v>  6.90628528594971</v>
          </cell>
        </row>
        <row r="374">
          <cell r="B374" t="str">
            <v>  4.6544394493103</v>
          </cell>
          <cell r="C374" t="str">
            <v>  4.98335886001587</v>
          </cell>
          <cell r="D374" t="str">
            <v>     6.4366569519043</v>
          </cell>
          <cell r="E374" t="str">
            <v>  7.04987001419067</v>
          </cell>
        </row>
        <row r="375">
          <cell r="B375" t="str">
            <v> 5.07655668258667</v>
          </cell>
          <cell r="C375" t="str">
            <v>  5.41668462753296</v>
          </cell>
          <cell r="D375" t="str">
            <v>    5.64917325973511</v>
          </cell>
          <cell r="E375" t="str">
            <v>  6.18741893768311</v>
          </cell>
        </row>
        <row r="376">
          <cell r="B376" t="str">
            <v> 4.42436981201172</v>
          </cell>
          <cell r="C376" t="str">
            <v>  5.00921869277954</v>
          </cell>
          <cell r="D376" t="str">
            <v>    5.85003995895386</v>
          </cell>
          <cell r="E376" t="str">
            <v>  6.40207529067993</v>
          </cell>
        </row>
        <row r="377">
          <cell r="B377" t="str">
            <v> 4.41078424453735</v>
          </cell>
          <cell r="C377" t="str">
            <v>  4.68728828430176</v>
          </cell>
          <cell r="D377" t="str">
            <v>    5.20478248596191</v>
          </cell>
          <cell r="E377" t="str">
            <v>  5.96151351928711</v>
          </cell>
        </row>
        <row r="378">
          <cell r="B378" t="str">
            <v> 4.07479619979858</v>
          </cell>
          <cell r="C378" t="str">
            <v>  4.62440776824951</v>
          </cell>
          <cell r="D378" t="str">
            <v>    4.57335805892944</v>
          </cell>
          <cell r="E378" t="str">
            <v>  5.78677320480347</v>
          </cell>
        </row>
        <row r="379">
          <cell r="B379" t="str">
            <v> 3.76384425163269</v>
          </cell>
          <cell r="C379" t="str">
            <v>  4.49188184738159</v>
          </cell>
          <cell r="D379" t="str">
            <v>    4.61282348632813</v>
          </cell>
          <cell r="E379" t="str">
            <v>  5.78508758544922</v>
          </cell>
        </row>
        <row r="380">
          <cell r="B380" t="str">
            <v> 3.55693173408508</v>
          </cell>
          <cell r="C380" t="str">
            <v>  3.92032647132874</v>
          </cell>
          <cell r="D380" t="str">
            <v>    3.76453733444214</v>
          </cell>
          <cell r="E380" t="str">
            <v>  4.50439023971558</v>
          </cell>
        </row>
        <row r="381">
          <cell r="B381" t="str">
            <v> 2.93717384338379</v>
          </cell>
          <cell r="C381" t="str">
            <v>  3.38282299041748</v>
          </cell>
          <cell r="D381" t="str">
            <v>    2.75321292877197</v>
          </cell>
          <cell r="E381" t="str">
            <v>  3.03926944732666</v>
          </cell>
        </row>
        <row r="392">
          <cell r="B392" t="str">
            <v> 2.670766</v>
          </cell>
          <cell r="C392" t="str">
            <v>  2.774083</v>
          </cell>
          <cell r="D392" t="str">
            <v>    3.344862</v>
          </cell>
          <cell r="E392" t="str">
            <v>  3.305785</v>
          </cell>
        </row>
        <row r="393">
          <cell r="B393" t="str">
            <v> 3.178679</v>
          </cell>
          <cell r="C393" t="str">
            <v>  3.235334</v>
          </cell>
          <cell r="D393" t="str">
            <v>    3.759456</v>
          </cell>
          <cell r="E393" t="str">
            <v>  3.829407</v>
          </cell>
        </row>
        <row r="394">
          <cell r="B394" t="str">
            <v>  2.84991</v>
          </cell>
          <cell r="C394" t="str">
            <v>  2.959869</v>
          </cell>
          <cell r="D394" t="str">
            <v>    3.759544</v>
          </cell>
          <cell r="E394" t="str">
            <v>  3.968391</v>
          </cell>
        </row>
        <row r="395">
          <cell r="B395" t="str">
            <v> 3.395545</v>
          </cell>
          <cell r="C395" t="str">
            <v>  3.483228</v>
          </cell>
          <cell r="D395" t="str">
            <v>    3.591269</v>
          </cell>
          <cell r="E395" t="str">
            <v>  3.677556</v>
          </cell>
        </row>
        <row r="396">
          <cell r="B396" t="str">
            <v> 3.119729</v>
          </cell>
          <cell r="C396" t="str">
            <v>  3.384466</v>
          </cell>
          <cell r="D396" t="str">
            <v>    3.753248</v>
          </cell>
          <cell r="E396" t="str">
            <v>  3.861534</v>
          </cell>
        </row>
        <row r="397">
          <cell r="B397" t="str">
            <v> 3.097767</v>
          </cell>
          <cell r="C397" t="str">
            <v>  3.214206</v>
          </cell>
          <cell r="D397" t="str">
            <v>    3.490678</v>
          </cell>
          <cell r="E397" t="str">
            <v>  3.840996</v>
          </cell>
        </row>
        <row r="398">
          <cell r="B398" t="str">
            <v> 2.995028</v>
          </cell>
          <cell r="C398" t="str">
            <v>  3.213714</v>
          </cell>
          <cell r="D398" t="str">
            <v>     3.28382</v>
          </cell>
          <cell r="E398" t="str">
            <v>  3.945411</v>
          </cell>
        </row>
        <row r="399">
          <cell r="B399" t="str">
            <v> 2.811596</v>
          </cell>
          <cell r="C399" t="str">
            <v>  3.189457</v>
          </cell>
          <cell r="D399" t="str">
            <v>    3.307827</v>
          </cell>
          <cell r="E399" t="str">
            <v>  3.894868</v>
          </cell>
        </row>
        <row r="400">
          <cell r="B400" t="str">
            <v> 2.639376</v>
          </cell>
          <cell r="C400" t="str">
            <v>  2.715855</v>
          </cell>
          <cell r="D400" t="str">
            <v>    2.613832</v>
          </cell>
          <cell r="E400" t="str">
            <v>  2.869497</v>
          </cell>
        </row>
        <row r="401">
          <cell r="B401" t="str">
            <v> 2.272603</v>
          </cell>
          <cell r="C401" t="str">
            <v>  2.517856</v>
          </cell>
          <cell r="D401" t="str">
            <v>    2.023319</v>
          </cell>
          <cell r="E401" t="str">
            <v>   2.21198</v>
          </cell>
        </row>
        <row r="412">
          <cell r="B412" t="str">
            <v> 2.184169</v>
          </cell>
          <cell r="C412" t="str">
            <v>  2.373633</v>
          </cell>
          <cell r="D412" t="str">
            <v>    2.831429</v>
          </cell>
          <cell r="E412" t="str">
            <v>  2.893383</v>
          </cell>
        </row>
        <row r="413">
          <cell r="B413" t="str">
            <v> 2.593726</v>
          </cell>
          <cell r="C413" t="str">
            <v>  2.728223</v>
          </cell>
          <cell r="D413" t="str">
            <v>    3.187346</v>
          </cell>
          <cell r="E413" t="str">
            <v>  3.324917</v>
          </cell>
        </row>
        <row r="414">
          <cell r="B414" t="str">
            <v> 2.459358</v>
          </cell>
          <cell r="C414" t="str">
            <v>  2.581528</v>
          </cell>
          <cell r="D414" t="str">
            <v>    3.166884</v>
          </cell>
          <cell r="E414" t="str">
            <v>  3.377401</v>
          </cell>
        </row>
        <row r="415">
          <cell r="B415" t="str">
            <v> 2.694093</v>
          </cell>
          <cell r="C415" t="str">
            <v>  2.815946</v>
          </cell>
          <cell r="D415" t="str">
            <v>    2.886868</v>
          </cell>
          <cell r="E415" t="str">
            <v>  3.061998</v>
          </cell>
        </row>
        <row r="416">
          <cell r="B416" t="str">
            <v> 2.442762</v>
          </cell>
          <cell r="C416" t="str">
            <v>   2.67795</v>
          </cell>
          <cell r="D416" t="str">
            <v>    2.971062</v>
          </cell>
          <cell r="E416" t="str">
            <v>  3.154673</v>
          </cell>
        </row>
        <row r="417">
          <cell r="B417" t="str">
            <v>  2.39676</v>
          </cell>
          <cell r="C417" t="str">
            <v>  2.513925</v>
          </cell>
          <cell r="D417" t="str">
            <v>    2.703494</v>
          </cell>
          <cell r="E417" t="str">
            <v>   2.99667</v>
          </cell>
        </row>
        <row r="418">
          <cell r="B418" t="str">
            <v> 2.304506</v>
          </cell>
          <cell r="C418" t="str">
            <v>  2.501168</v>
          </cell>
          <cell r="D418" t="str">
            <v>    2.496504</v>
          </cell>
          <cell r="E418" t="str">
            <v>  2.964144</v>
          </cell>
        </row>
        <row r="419">
          <cell r="B419" t="str">
            <v> 2.182329</v>
          </cell>
          <cell r="C419" t="str">
            <v>  2.459194</v>
          </cell>
          <cell r="D419" t="str">
            <v>    2.467524</v>
          </cell>
          <cell r="E419" t="str">
            <v>   2.95845</v>
          </cell>
        </row>
        <row r="420">
          <cell r="B420" t="str">
            <v> 2.079427</v>
          </cell>
          <cell r="C420" t="str">
            <v>  2.173567</v>
          </cell>
          <cell r="D420" t="str">
            <v>    2.137841</v>
          </cell>
          <cell r="E420" t="str">
            <v>  2.419705</v>
          </cell>
        </row>
        <row r="421">
          <cell r="B421" t="str">
            <v> 1.811673</v>
          </cell>
          <cell r="C421" t="str">
            <v>  1.968769</v>
          </cell>
          <cell r="D421" t="str">
            <v>    1.609057</v>
          </cell>
          <cell r="E421" t="str">
            <v>  1.772882</v>
          </cell>
        </row>
        <row r="431">
          <cell r="B431" t="str">
            <v>---------</v>
          </cell>
          <cell r="C431" t="str">
            <v>----------</v>
          </cell>
          <cell r="D431" t="str">
            <v>------------</v>
          </cell>
          <cell r="E431" t="str">
            <v>----------</v>
          </cell>
        </row>
        <row r="432">
          <cell r="B432" t="str">
            <v> .4971967</v>
          </cell>
          <cell r="C432" t="str">
            <v>  .4830876</v>
          </cell>
          <cell r="D432" t="str">
            <v>    .5585315</v>
          </cell>
          <cell r="E432" t="str">
            <v>  .5867716</v>
          </cell>
        </row>
        <row r="433">
          <cell r="B433" t="str">
            <v> .4695878</v>
          </cell>
          <cell r="C433" t="str">
            <v>  .4434225</v>
          </cell>
          <cell r="D433" t="str">
            <v>    .5379572</v>
          </cell>
          <cell r="E433" t="str">
            <v>  .5364208</v>
          </cell>
        </row>
        <row r="434">
          <cell r="B434" t="str">
            <v> .4474372</v>
          </cell>
          <cell r="C434" t="str">
            <v>  .4621603</v>
          </cell>
          <cell r="D434" t="str">
            <v>    .5441157</v>
          </cell>
          <cell r="E434" t="str">
            <v>  .5320204</v>
          </cell>
        </row>
        <row r="435">
          <cell r="B435" t="str">
            <v> .4638444</v>
          </cell>
          <cell r="C435" t="str">
            <v>   .445586</v>
          </cell>
          <cell r="D435" t="str">
            <v>    .5630789</v>
          </cell>
          <cell r="E435" t="str">
            <v>  .5387115</v>
          </cell>
        </row>
        <row r="436">
          <cell r="B436" t="str">
            <v> .4467999</v>
          </cell>
          <cell r="C436" t="str">
            <v>  .4359549</v>
          </cell>
          <cell r="D436" t="str">
            <v>    .4766214</v>
          </cell>
          <cell r="E436" t="str">
            <v>  .4790257</v>
          </cell>
        </row>
        <row r="437">
          <cell r="B437" t="str">
            <v> .4189177</v>
          </cell>
          <cell r="C437" t="str">
            <v>  .4034076</v>
          </cell>
          <cell r="D437" t="str">
            <v>    .4814432</v>
          </cell>
          <cell r="E437" t="str">
            <v>  .4872244</v>
          </cell>
        </row>
        <row r="438">
          <cell r="B438" t="str">
            <v> .3867279</v>
          </cell>
          <cell r="C438" t="str">
            <v>  .3720218</v>
          </cell>
          <cell r="D438" t="str">
            <v>    .4383291</v>
          </cell>
          <cell r="E438" t="str">
            <v>  .4285295</v>
          </cell>
        </row>
        <row r="439">
          <cell r="B439" t="str">
            <v> .3461535</v>
          </cell>
          <cell r="C439" t="str">
            <v>  .3301457</v>
          </cell>
          <cell r="D439" t="str">
            <v>    .4250186</v>
          </cell>
          <cell r="E439" t="str">
            <v>  .4129199</v>
          </cell>
        </row>
        <row r="440">
          <cell r="B440" t="str">
            <v> .2793238</v>
          </cell>
          <cell r="C440" t="str">
            <v>  .2791995</v>
          </cell>
          <cell r="D440" t="str">
            <v>    .3165928</v>
          </cell>
          <cell r="E440" t="str">
            <v>  .2996053</v>
          </cell>
        </row>
        <row r="450">
          <cell r="B450" t="str">
            <v>---------</v>
          </cell>
          <cell r="C450" t="str">
            <v>----------</v>
          </cell>
          <cell r="D450" t="str">
            <v>------------</v>
          </cell>
          <cell r="E450" t="str">
            <v>----------</v>
          </cell>
        </row>
        <row r="451">
          <cell r="B451" t="str">
            <v> .5050647</v>
          </cell>
          <cell r="C451" t="str">
            <v>  .4910806</v>
          </cell>
          <cell r="D451" t="str">
            <v>     .547365</v>
          </cell>
          <cell r="E451" t="str">
            <v>  .5816041</v>
          </cell>
        </row>
        <row r="452">
          <cell r="B452" t="str">
            <v> .4902523</v>
          </cell>
          <cell r="C452" t="str">
            <v>  .4456916</v>
          </cell>
          <cell r="D452" t="str">
            <v>     .555739</v>
          </cell>
          <cell r="E452" t="str">
            <v>  .5485743</v>
          </cell>
        </row>
        <row r="453">
          <cell r="B453" t="str">
            <v> .4753704</v>
          </cell>
          <cell r="C453" t="str">
            <v>  .4782545</v>
          </cell>
          <cell r="D453" t="str">
            <v>    .5559052</v>
          </cell>
          <cell r="E453" t="str">
            <v>  .5474382</v>
          </cell>
        </row>
        <row r="454">
          <cell r="B454" t="str">
            <v>  .462934</v>
          </cell>
          <cell r="C454" t="str">
            <v>  .4446257</v>
          </cell>
          <cell r="D454" t="str">
            <v>    .5633706</v>
          </cell>
          <cell r="E454" t="str">
            <v>  .5480719</v>
          </cell>
        </row>
        <row r="455">
          <cell r="B455" t="str">
            <v> .4635581</v>
          </cell>
          <cell r="C455" t="str">
            <v>  .4498583</v>
          </cell>
          <cell r="D455" t="str">
            <v>    .4899845</v>
          </cell>
          <cell r="E455" t="str">
            <v>  .4792188</v>
          </cell>
        </row>
        <row r="456">
          <cell r="B456" t="str">
            <v> .4090484</v>
          </cell>
          <cell r="C456" t="str">
            <v>  .4052014</v>
          </cell>
          <cell r="D456" t="str">
            <v>    .4958486</v>
          </cell>
          <cell r="E456" t="str">
            <v>  .4778818</v>
          </cell>
        </row>
        <row r="457">
          <cell r="B457" t="str">
            <v> .4067877</v>
          </cell>
          <cell r="C457" t="str">
            <v>  .3826749</v>
          </cell>
          <cell r="D457" t="str">
            <v>    .4519104</v>
          </cell>
          <cell r="E457" t="str">
            <v>  .4312331</v>
          </cell>
        </row>
        <row r="458">
          <cell r="B458" t="str">
            <v> .3603745</v>
          </cell>
          <cell r="C458" t="str">
            <v>  .3360284</v>
          </cell>
          <cell r="D458" t="str">
            <v>    .4430119</v>
          </cell>
          <cell r="E458" t="str">
            <v>  .4250221</v>
          </cell>
        </row>
        <row r="459">
          <cell r="B459" t="str">
            <v> .2867271</v>
          </cell>
          <cell r="C459" t="str">
            <v>  .2754932</v>
          </cell>
          <cell r="D459" t="str">
            <v>    .3371556</v>
          </cell>
          <cell r="E459" t="str">
            <v>  .2546583</v>
          </cell>
        </row>
        <row r="469">
          <cell r="B469" t="str">
            <v>---------</v>
          </cell>
          <cell r="C469" t="str">
            <v>----------</v>
          </cell>
          <cell r="D469" t="str">
            <v>------------</v>
          </cell>
          <cell r="E469" t="str">
            <v>----------</v>
          </cell>
        </row>
        <row r="470">
          <cell r="B470" t="str">
            <v> .0478487</v>
          </cell>
          <cell r="C470" t="str">
            <v>  .0497362</v>
          </cell>
          <cell r="D470" t="str">
            <v>    .0382908</v>
          </cell>
          <cell r="E470" t="str">
            <v>  .0358733</v>
          </cell>
        </row>
        <row r="471">
          <cell r="B471" t="str">
            <v> .0567273</v>
          </cell>
          <cell r="C471" t="str">
            <v>  .0635702</v>
          </cell>
          <cell r="D471" t="str">
            <v>    .0600373</v>
          </cell>
          <cell r="E471" t="str">
            <v>  .0631229</v>
          </cell>
        </row>
        <row r="472">
          <cell r="B472" t="str">
            <v> .0481117</v>
          </cell>
          <cell r="C472" t="str">
            <v>  .0571167</v>
          </cell>
          <cell r="D472" t="str">
            <v>    .0496466</v>
          </cell>
          <cell r="E472" t="str">
            <v>  .0518666</v>
          </cell>
        </row>
        <row r="473">
          <cell r="B473" t="str">
            <v> .0727493</v>
          </cell>
          <cell r="C473" t="str">
            <v>  .0766111</v>
          </cell>
          <cell r="D473" t="str">
            <v>    .0534894</v>
          </cell>
          <cell r="E473" t="str">
            <v>  .0561399</v>
          </cell>
        </row>
        <row r="474">
          <cell r="B474" t="str">
            <v> .0762831</v>
          </cell>
          <cell r="C474" t="str">
            <v>  .0941043</v>
          </cell>
          <cell r="D474" t="str">
            <v>    .0986089</v>
          </cell>
          <cell r="E474" t="str">
            <v>  .0916784</v>
          </cell>
        </row>
        <row r="475">
          <cell r="B475" t="str">
            <v> .0923388</v>
          </cell>
          <cell r="C475" t="str">
            <v>  .0994915</v>
          </cell>
          <cell r="D475" t="str">
            <v>    .0936406</v>
          </cell>
          <cell r="E475" t="str">
            <v>  .0915676</v>
          </cell>
        </row>
        <row r="476">
          <cell r="B476" t="str">
            <v> .1123528</v>
          </cell>
          <cell r="C476" t="str">
            <v>   .110336</v>
          </cell>
          <cell r="D476" t="str">
            <v>    .1152886</v>
          </cell>
          <cell r="E476" t="str">
            <v>  .1172692</v>
          </cell>
        </row>
        <row r="477">
          <cell r="B477" t="str">
            <v> .1211839</v>
          </cell>
          <cell r="C477" t="str">
            <v>  .1195024</v>
          </cell>
          <cell r="D477" t="str">
            <v>    .1045764</v>
          </cell>
          <cell r="E477" t="str">
            <v>  .1249379</v>
          </cell>
        </row>
        <row r="478">
          <cell r="B478" t="str">
            <v> .1367792</v>
          </cell>
          <cell r="C478" t="str">
            <v>  .1509618</v>
          </cell>
          <cell r="D478" t="str">
            <v>    .1270126</v>
          </cell>
          <cell r="E478" t="str">
            <v>  .1546534</v>
          </cell>
        </row>
        <row r="488">
          <cell r="B488" t="str">
            <v>---------</v>
          </cell>
          <cell r="C488" t="str">
            <v>----------</v>
          </cell>
          <cell r="D488" t="str">
            <v>------------</v>
          </cell>
          <cell r="E488" t="str">
            <v>----------</v>
          </cell>
        </row>
        <row r="489">
          <cell r="B489" t="str">
            <v> .0418325</v>
          </cell>
          <cell r="C489" t="str">
            <v>  .0467364</v>
          </cell>
          <cell r="D489" t="str">
            <v>    .0390539</v>
          </cell>
          <cell r="E489" t="str">
            <v>  .0358867</v>
          </cell>
        </row>
        <row r="490">
          <cell r="B490" t="str">
            <v> .0471301</v>
          </cell>
          <cell r="C490" t="str">
            <v>  .0571391</v>
          </cell>
          <cell r="D490" t="str">
            <v>    .0526728</v>
          </cell>
          <cell r="E490" t="str">
            <v>  .0561062</v>
          </cell>
        </row>
        <row r="491">
          <cell r="B491" t="str">
            <v> .0361182</v>
          </cell>
          <cell r="C491" t="str">
            <v>  .0497275</v>
          </cell>
          <cell r="D491" t="str">
            <v>    .0443458</v>
          </cell>
          <cell r="E491" t="str">
            <v>  .0462583</v>
          </cell>
        </row>
        <row r="492">
          <cell r="B492" t="str">
            <v> .0547234</v>
          </cell>
          <cell r="C492" t="str">
            <v>   .070859</v>
          </cell>
          <cell r="D492" t="str">
            <v>    .0445946</v>
          </cell>
          <cell r="E492" t="str">
            <v>  .0478441</v>
          </cell>
        </row>
        <row r="493">
          <cell r="B493" t="str">
            <v> .0578993</v>
          </cell>
          <cell r="C493" t="str">
            <v>  .0804706</v>
          </cell>
          <cell r="D493" t="str">
            <v>    .0858939</v>
          </cell>
          <cell r="E493" t="str">
            <v>  .0863368</v>
          </cell>
        </row>
        <row r="494">
          <cell r="B494" t="str">
            <v> .0881543</v>
          </cell>
          <cell r="C494" t="str">
            <v>   .108911</v>
          </cell>
          <cell r="D494" t="str">
            <v>    .0893965</v>
          </cell>
          <cell r="E494" t="str">
            <v>  .0961253</v>
          </cell>
        </row>
        <row r="495">
          <cell r="B495" t="str">
            <v> .1030742</v>
          </cell>
          <cell r="C495" t="str">
            <v>  .0999616</v>
          </cell>
          <cell r="D495" t="str">
            <v>    .0948197</v>
          </cell>
          <cell r="E495" t="str">
            <v>  .1240013</v>
          </cell>
        </row>
        <row r="496">
          <cell r="B496" t="str">
            <v> .1188883</v>
          </cell>
          <cell r="C496" t="str">
            <v>  .1117561</v>
          </cell>
          <cell r="D496" t="str">
            <v>    .0980516</v>
          </cell>
          <cell r="E496" t="str">
            <v>  .1046622</v>
          </cell>
        </row>
        <row r="497">
          <cell r="B497" t="str">
            <v> .1339982</v>
          </cell>
          <cell r="C497" t="str">
            <v>  .1488731</v>
          </cell>
          <cell r="D497" t="str">
            <v>    .1171095</v>
          </cell>
          <cell r="E497" t="str">
            <v>  .1575636</v>
          </cell>
        </row>
        <row r="507">
          <cell r="B507" t="str">
            <v>---------</v>
          </cell>
          <cell r="C507" t="str">
            <v>----------</v>
          </cell>
          <cell r="D507" t="str">
            <v>------------</v>
          </cell>
          <cell r="E507" t="str">
            <v>----------</v>
          </cell>
        </row>
        <row r="508">
          <cell r="B508" t="str">
            <v> .0975366</v>
          </cell>
          <cell r="C508" t="str">
            <v>   .103494</v>
          </cell>
          <cell r="D508" t="str">
            <v>    .0995846</v>
          </cell>
          <cell r="E508" t="str">
            <v>  .0926218</v>
          </cell>
        </row>
        <row r="509">
          <cell r="B509" t="str">
            <v>  .096537</v>
          </cell>
          <cell r="C509" t="str">
            <v>  .1046907</v>
          </cell>
          <cell r="D509" t="str">
            <v>    .0808134</v>
          </cell>
          <cell r="E509" t="str">
            <v>  .0822607</v>
          </cell>
        </row>
        <row r="510">
          <cell r="B510" t="str">
            <v> .0954164</v>
          </cell>
          <cell r="C510" t="str">
            <v>  .0941075</v>
          </cell>
          <cell r="D510" t="str">
            <v>     .090153</v>
          </cell>
          <cell r="E510" t="str">
            <v>   .086598</v>
          </cell>
        </row>
        <row r="511">
          <cell r="B511" t="str">
            <v> .0948181</v>
          </cell>
          <cell r="C511" t="str">
            <v>   .110681</v>
          </cell>
          <cell r="D511" t="str">
            <v>    .0803432</v>
          </cell>
          <cell r="E511" t="str">
            <v>  .0852003</v>
          </cell>
        </row>
        <row r="512">
          <cell r="B512" t="str">
            <v> .0899973</v>
          </cell>
          <cell r="C512" t="str">
            <v>  .0884666</v>
          </cell>
          <cell r="D512" t="str">
            <v>    .0910865</v>
          </cell>
          <cell r="E512" t="str">
            <v>  .0916238</v>
          </cell>
        </row>
        <row r="513">
          <cell r="B513" t="str">
            <v> .0899805</v>
          </cell>
          <cell r="C513" t="str">
            <v>  .0884617</v>
          </cell>
          <cell r="D513" t="str">
            <v>    .0705803</v>
          </cell>
          <cell r="E513" t="str">
            <v>  .0771455</v>
          </cell>
        </row>
        <row r="514">
          <cell r="B514" t="str">
            <v> .0961781</v>
          </cell>
          <cell r="C514" t="str">
            <v>  .0907188</v>
          </cell>
          <cell r="D514" t="str">
            <v>    .0804315</v>
          </cell>
          <cell r="E514" t="str">
            <v>  .0638957</v>
          </cell>
        </row>
        <row r="515">
          <cell r="B515" t="str">
            <v> .0857268</v>
          </cell>
          <cell r="C515" t="str">
            <v>  .0957196</v>
          </cell>
          <cell r="D515" t="str">
            <v>    .0571758</v>
          </cell>
          <cell r="E515" t="str">
            <v>  .0661371</v>
          </cell>
        </row>
        <row r="516">
          <cell r="B516" t="str">
            <v> .0815973</v>
          </cell>
          <cell r="C516" t="str">
            <v>  .0883201</v>
          </cell>
          <cell r="D516" t="str">
            <v>    .0610766</v>
          </cell>
          <cell r="E516" t="str">
            <v>  .0645887</v>
          </cell>
        </row>
        <row r="526">
          <cell r="B526" t="str">
            <v>---------</v>
          </cell>
          <cell r="C526" t="str">
            <v>----------</v>
          </cell>
          <cell r="D526" t="str">
            <v>------------</v>
          </cell>
          <cell r="E526" t="str">
            <v>----------</v>
          </cell>
        </row>
        <row r="527">
          <cell r="B527" t="str">
            <v> .0969917</v>
          </cell>
          <cell r="C527" t="str">
            <v>  .1020899</v>
          </cell>
          <cell r="D527" t="str">
            <v>     .099015</v>
          </cell>
          <cell r="E527" t="str">
            <v>  .0919073</v>
          </cell>
        </row>
        <row r="528">
          <cell r="B528" t="str">
            <v> .0950106</v>
          </cell>
          <cell r="C528" t="str">
            <v>  .0989594</v>
          </cell>
          <cell r="D528" t="str">
            <v>    .0832266</v>
          </cell>
          <cell r="E528" t="str">
            <v>  .0812216</v>
          </cell>
        </row>
        <row r="529">
          <cell r="B529" t="str">
            <v> .1105004</v>
          </cell>
          <cell r="C529" t="str">
            <v>    .10011</v>
          </cell>
          <cell r="D529" t="str">
            <v>    .0965158</v>
          </cell>
          <cell r="E529" t="str">
            <v>  .0909999</v>
          </cell>
        </row>
        <row r="530">
          <cell r="B530" t="str">
            <v> .1042514</v>
          </cell>
          <cell r="C530" t="str">
            <v>  .1158565</v>
          </cell>
          <cell r="D530" t="str">
            <v>    .0878506</v>
          </cell>
          <cell r="E530" t="str">
            <v>  .0950184</v>
          </cell>
        </row>
        <row r="531">
          <cell r="B531" t="str">
            <v> .0984248</v>
          </cell>
          <cell r="C531" t="str">
            <v>   .094673</v>
          </cell>
          <cell r="D531" t="str">
            <v>    .0891979</v>
          </cell>
          <cell r="E531" t="str">
            <v>  .0938297</v>
          </cell>
        </row>
        <row r="532">
          <cell r="B532" t="str">
            <v>  .093846</v>
          </cell>
          <cell r="C532" t="str">
            <v>  .0840523</v>
          </cell>
          <cell r="D532" t="str">
            <v>    .0701593</v>
          </cell>
          <cell r="E532" t="str">
            <v>  .0760912</v>
          </cell>
        </row>
        <row r="533">
          <cell r="B533" t="str">
            <v> .0933112</v>
          </cell>
          <cell r="C533" t="str">
            <v>  .0834395</v>
          </cell>
          <cell r="D533" t="str">
            <v>    .0857422</v>
          </cell>
          <cell r="E533" t="str">
            <v>  .0580439</v>
          </cell>
        </row>
        <row r="534">
          <cell r="B534" t="str">
            <v> .0848787</v>
          </cell>
          <cell r="C534" t="str">
            <v>  .0921036</v>
          </cell>
          <cell r="D534" t="str">
            <v>    .0567481</v>
          </cell>
          <cell r="E534" t="str">
            <v>  .0585493</v>
          </cell>
        </row>
        <row r="535">
          <cell r="B535" t="str">
            <v> .0863219</v>
          </cell>
          <cell r="C535" t="str">
            <v>  .0819185</v>
          </cell>
          <cell r="D535" t="str">
            <v>    .0559855</v>
          </cell>
          <cell r="E535" t="str">
            <v>  .0610488</v>
          </cell>
        </row>
        <row r="545">
          <cell r="B545" t="str">
            <v>---------</v>
          </cell>
          <cell r="C545" t="str">
            <v>----------</v>
          </cell>
          <cell r="D545" t="str">
            <v>------------</v>
          </cell>
          <cell r="E545" t="str">
            <v>----------</v>
          </cell>
        </row>
        <row r="546">
          <cell r="B546" t="str">
            <v> .3574181</v>
          </cell>
          <cell r="C546" t="str">
            <v>  .3636822</v>
          </cell>
          <cell r="D546" t="str">
            <v>    .3035931</v>
          </cell>
          <cell r="E546" t="str">
            <v>  .2847333</v>
          </cell>
        </row>
        <row r="547">
          <cell r="B547" t="str">
            <v> .3771479</v>
          </cell>
          <cell r="C547" t="str">
            <v>  .3883166</v>
          </cell>
          <cell r="D547" t="str">
            <v>    .3211921</v>
          </cell>
          <cell r="E547" t="str">
            <v>  .3181957</v>
          </cell>
        </row>
        <row r="548">
          <cell r="B548" t="str">
            <v> .4090346</v>
          </cell>
          <cell r="C548" t="str">
            <v>  .3866155</v>
          </cell>
          <cell r="D548" t="str">
            <v>    .3160847</v>
          </cell>
          <cell r="E548" t="str">
            <v>   .329515</v>
          </cell>
        </row>
        <row r="549">
          <cell r="B549" t="str">
            <v> .3685882</v>
          </cell>
          <cell r="C549" t="str">
            <v>  .3671219</v>
          </cell>
          <cell r="D549" t="str">
            <v>    .3030885</v>
          </cell>
          <cell r="E549" t="str">
            <v>  .3199483</v>
          </cell>
        </row>
        <row r="550">
          <cell r="B550" t="str">
            <v> .3869198</v>
          </cell>
          <cell r="C550" t="str">
            <v>  .3814742</v>
          </cell>
          <cell r="D550" t="str">
            <v>    .3336832</v>
          </cell>
          <cell r="E550" t="str">
            <v>  .3376721</v>
          </cell>
        </row>
        <row r="551">
          <cell r="B551" t="str">
            <v> .3987629</v>
          </cell>
          <cell r="C551" t="str">
            <v>  .4086392</v>
          </cell>
          <cell r="D551" t="str">
            <v>    .3543359</v>
          </cell>
          <cell r="E551" t="str">
            <v>  .3440626</v>
          </cell>
        </row>
        <row r="552">
          <cell r="B552" t="str">
            <v> .4047412</v>
          </cell>
          <cell r="C552" t="str">
            <v>  .4269235</v>
          </cell>
          <cell r="D552" t="str">
            <v>    .3659508</v>
          </cell>
          <cell r="E552" t="str">
            <v>  .3903056</v>
          </cell>
        </row>
        <row r="553">
          <cell r="B553" t="str">
            <v> .4469359</v>
          </cell>
          <cell r="C553" t="str">
            <v>  .4546323</v>
          </cell>
          <cell r="D553" t="str">
            <v>    .4132292</v>
          </cell>
          <cell r="E553" t="str">
            <v>  .3960051</v>
          </cell>
        </row>
        <row r="554">
          <cell r="B554" t="str">
            <v> .5022997</v>
          </cell>
          <cell r="C554" t="str">
            <v>  .4815185</v>
          </cell>
          <cell r="D554" t="str">
            <v>    .4953181</v>
          </cell>
          <cell r="E554" t="str">
            <v>  .4811526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4"/>
      <sheetName val="Sheet4 orig"/>
      <sheetName val="Inequality Input Data Template "/>
      <sheetName val="Sheet2"/>
      <sheetName val="average means"/>
    </sheetNames>
    <sheetDataSet>
      <sheetData sheetId="0">
        <row r="287">
          <cell r="C287" t="str">
            <v>  55378578.4</v>
          </cell>
        </row>
        <row r="297">
          <cell r="B297" t="str">
            <v>          99188.73</v>
          </cell>
          <cell r="C297" t="str">
            <v>           38295.52</v>
          </cell>
        </row>
        <row r="298">
          <cell r="B298" t="str">
            <v>          86087.46</v>
          </cell>
          <cell r="C298" t="str">
            <v>           30840.49</v>
          </cell>
        </row>
        <row r="332">
          <cell r="B332" t="str">
            <v> .0217737</v>
          </cell>
          <cell r="C332" t="str">
            <v>  .0235248</v>
          </cell>
          <cell r="D332" t="str">
            <v>    .0233846</v>
          </cell>
          <cell r="E332" t="str">
            <v>   .031345</v>
          </cell>
        </row>
        <row r="333">
          <cell r="B333" t="str">
            <v>  .018788</v>
          </cell>
          <cell r="C333" t="str">
            <v>   .021606</v>
          </cell>
          <cell r="D333" t="str">
            <v>    .0263769</v>
          </cell>
          <cell r="E333" t="str">
            <v>  .0332564</v>
          </cell>
        </row>
        <row r="334">
          <cell r="B334" t="str">
            <v> .0215466</v>
          </cell>
          <cell r="C334" t="str">
            <v>  .0248282</v>
          </cell>
          <cell r="D334" t="str">
            <v>    .0240983</v>
          </cell>
          <cell r="E334" t="str">
            <v>   .029513</v>
          </cell>
        </row>
        <row r="335">
          <cell r="B335" t="str">
            <v> .0260486</v>
          </cell>
          <cell r="C335" t="str">
            <v>   .028545</v>
          </cell>
          <cell r="D335" t="str">
            <v>    .0220557</v>
          </cell>
          <cell r="E335" t="str">
            <v>   .024236</v>
          </cell>
        </row>
        <row r="336">
          <cell r="B336" t="str">
            <v> .0279373</v>
          </cell>
          <cell r="C336" t="str">
            <v>  .0283515</v>
          </cell>
          <cell r="D336" t="str">
            <v>    .0199467</v>
          </cell>
          <cell r="E336" t="str">
            <v>  .0228767</v>
          </cell>
        </row>
        <row r="337">
          <cell r="B337" t="str">
            <v> .0323376</v>
          </cell>
          <cell r="C337" t="str">
            <v>  .0371861</v>
          </cell>
          <cell r="D337" t="str">
            <v>    .0155127</v>
          </cell>
          <cell r="E337" t="str">
            <v>  .0149966</v>
          </cell>
        </row>
        <row r="338">
          <cell r="B338" t="str">
            <v> .0378101</v>
          </cell>
          <cell r="C338" t="str">
            <v>  .0396721</v>
          </cell>
          <cell r="D338" t="str">
            <v>    .0117835</v>
          </cell>
          <cell r="E338" t="str">
            <v>  .0106917</v>
          </cell>
        </row>
        <row r="339">
          <cell r="B339" t="str">
            <v> .0412124</v>
          </cell>
          <cell r="C339" t="str">
            <v>  .0341641</v>
          </cell>
          <cell r="D339" t="str">
            <v>    .0132191</v>
          </cell>
          <cell r="E339" t="str">
            <v>  .0113963</v>
          </cell>
        </row>
        <row r="340">
          <cell r="B340" t="str">
            <v> .0443093</v>
          </cell>
          <cell r="C340" t="str">
            <v>  .0423534</v>
          </cell>
          <cell r="D340" t="str">
            <v>    .0075446</v>
          </cell>
          <cell r="E340" t="str">
            <v>  .0061375</v>
          </cell>
        </row>
        <row r="341">
          <cell r="B341" t="str">
            <v> .0487734</v>
          </cell>
          <cell r="C341" t="str">
            <v>  .0402807</v>
          </cell>
          <cell r="D341" t="str">
            <v>    .0061474</v>
          </cell>
          <cell r="E341" t="str">
            <v>  .0044322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16"/>
  <sheetViews>
    <sheetView tabSelected="1" topLeftCell="A796" zoomScale="48" zoomScaleNormal="60" workbookViewId="0">
      <selection activeCell="F526" sqref="F526"/>
    </sheetView>
  </sheetViews>
  <sheetFormatPr defaultRowHeight="14.5" x14ac:dyDescent="0.35"/>
  <cols>
    <col min="4" max="4" width="45.08984375" customWidth="1"/>
    <col min="5" max="5" width="12.08984375" customWidth="1"/>
    <col min="6" max="6" width="77.36328125" customWidth="1"/>
    <col min="7" max="7" width="13" customWidth="1"/>
    <col min="8" max="11" width="13" style="13" customWidth="1"/>
    <col min="12" max="12" width="12.6328125" style="13" bestFit="1" customWidth="1"/>
  </cols>
  <sheetData>
    <row r="1" spans="1:32" x14ac:dyDescent="0.35">
      <c r="A1" t="s">
        <v>58</v>
      </c>
      <c r="B1" t="s">
        <v>57</v>
      </c>
      <c r="C1" t="s">
        <v>56</v>
      </c>
      <c r="D1" t="s">
        <v>55</v>
      </c>
      <c r="E1" t="s">
        <v>54</v>
      </c>
      <c r="F1" t="s">
        <v>53</v>
      </c>
      <c r="G1" t="s">
        <v>52</v>
      </c>
      <c r="H1" s="12" t="s">
        <v>51</v>
      </c>
      <c r="I1" s="12" t="s">
        <v>50</v>
      </c>
      <c r="J1" s="12" t="s">
        <v>49</v>
      </c>
      <c r="K1" s="12" t="s">
        <v>104</v>
      </c>
      <c r="L1" s="12"/>
    </row>
    <row r="2" spans="1:32" x14ac:dyDescent="0.35">
      <c r="A2" t="s">
        <v>14</v>
      </c>
      <c r="D2" t="s">
        <v>48</v>
      </c>
      <c r="E2" t="s">
        <v>5</v>
      </c>
      <c r="F2" t="s">
        <v>47</v>
      </c>
      <c r="G2">
        <v>80</v>
      </c>
      <c r="H2" s="13">
        <v>1</v>
      </c>
      <c r="I2" s="13" t="s">
        <v>3</v>
      </c>
      <c r="J2" s="13" t="s">
        <v>0</v>
      </c>
      <c r="K2" s="13" t="s">
        <v>64</v>
      </c>
      <c r="L2" s="13">
        <f>W2</f>
        <v>0.49719669999999999</v>
      </c>
      <c r="P2" t="str">
        <f>[1]Sheet4!B412</f>
        <v> 2.184169</v>
      </c>
      <c r="Q2" t="str">
        <f>[1]Sheet4!C412</f>
        <v>  2.373633</v>
      </c>
      <c r="R2" t="str">
        <f>[1]Sheet4!D412</f>
        <v>    2.831429</v>
      </c>
      <c r="S2" t="str">
        <f>[1]Sheet4!E412</f>
        <v>  2.893383</v>
      </c>
      <c r="W2">
        <v>0.49719669999999999</v>
      </c>
      <c r="X2">
        <v>0.4695878</v>
      </c>
      <c r="Y2">
        <v>0.44743719999999998</v>
      </c>
      <c r="Z2">
        <v>0.46384439999999999</v>
      </c>
      <c r="AA2">
        <v>0.44679990000000003</v>
      </c>
      <c r="AB2">
        <v>0.4189177</v>
      </c>
      <c r="AC2">
        <v>0.38672790000000001</v>
      </c>
      <c r="AD2">
        <v>0.3461535</v>
      </c>
      <c r="AE2">
        <v>0.27932380000000001</v>
      </c>
      <c r="AF2">
        <v>0.23364989999999999</v>
      </c>
    </row>
    <row r="3" spans="1:32" x14ac:dyDescent="0.35">
      <c r="H3" s="13">
        <v>1</v>
      </c>
      <c r="I3" s="13" t="s">
        <v>3</v>
      </c>
      <c r="J3" s="13" t="s">
        <v>2</v>
      </c>
      <c r="K3" s="13" t="s">
        <v>64</v>
      </c>
      <c r="L3" s="13">
        <f>W3</f>
        <v>0.48308760000000001</v>
      </c>
      <c r="P3" t="str">
        <f>[1]Sheet4!B413</f>
        <v> 2.593726</v>
      </c>
      <c r="Q3" t="str">
        <f>[1]Sheet4!C413</f>
        <v>  2.728223</v>
      </c>
      <c r="R3" t="str">
        <f>[1]Sheet4!D413</f>
        <v>    3.187346</v>
      </c>
      <c r="S3" t="str">
        <f>[1]Sheet4!E413</f>
        <v>  3.324917</v>
      </c>
      <c r="W3">
        <v>0.48308760000000001</v>
      </c>
      <c r="X3">
        <v>0.4434225</v>
      </c>
      <c r="Y3">
        <v>0.46216030000000002</v>
      </c>
      <c r="Z3">
        <v>0.44558599999999998</v>
      </c>
      <c r="AA3">
        <v>0.43595489999999998</v>
      </c>
      <c r="AB3">
        <v>0.40340759999999998</v>
      </c>
      <c r="AC3">
        <v>0.37202180000000001</v>
      </c>
      <c r="AD3">
        <v>0.33014569999999999</v>
      </c>
      <c r="AE3">
        <v>0.27919949999999999</v>
      </c>
      <c r="AF3">
        <v>0.2251495</v>
      </c>
    </row>
    <row r="4" spans="1:32" x14ac:dyDescent="0.35">
      <c r="H4" s="13">
        <v>1</v>
      </c>
      <c r="I4" s="13" t="s">
        <v>1</v>
      </c>
      <c r="J4" s="13" t="s">
        <v>0</v>
      </c>
      <c r="K4" s="13" t="s">
        <v>64</v>
      </c>
      <c r="L4" s="13">
        <f>W4</f>
        <v>0.55853149999999996</v>
      </c>
      <c r="P4" t="str">
        <f>[1]Sheet4!B414</f>
        <v> 2.459358</v>
      </c>
      <c r="Q4" t="str">
        <f>[1]Sheet4!C414</f>
        <v>  2.581528</v>
      </c>
      <c r="R4" t="str">
        <f>[1]Sheet4!D414</f>
        <v>    3.166884</v>
      </c>
      <c r="S4" t="str">
        <f>[1]Sheet4!E414</f>
        <v>  3.377401</v>
      </c>
      <c r="W4">
        <v>0.55853149999999996</v>
      </c>
      <c r="X4">
        <v>0.53795720000000002</v>
      </c>
      <c r="Y4">
        <v>0.54411569999999998</v>
      </c>
      <c r="Z4">
        <v>0.56307890000000005</v>
      </c>
      <c r="AA4">
        <v>0.47662139999999997</v>
      </c>
      <c r="AB4">
        <v>0.48144320000000002</v>
      </c>
      <c r="AC4">
        <v>0.43832910000000003</v>
      </c>
      <c r="AD4">
        <v>0.42501860000000002</v>
      </c>
      <c r="AE4">
        <v>0.31659280000000001</v>
      </c>
      <c r="AF4">
        <v>0.27788000000000002</v>
      </c>
    </row>
    <row r="5" spans="1:32" x14ac:dyDescent="0.35">
      <c r="H5" s="13">
        <v>1</v>
      </c>
      <c r="I5" s="13" t="s">
        <v>1</v>
      </c>
      <c r="J5" s="13" t="s">
        <v>2</v>
      </c>
      <c r="K5" s="13" t="s">
        <v>64</v>
      </c>
      <c r="L5" s="13">
        <f>W5</f>
        <v>0.58677159999999995</v>
      </c>
      <c r="P5" t="str">
        <f>[1]Sheet4!B415</f>
        <v> 2.694093</v>
      </c>
      <c r="Q5" t="str">
        <f>[1]Sheet4!C415</f>
        <v>  2.815946</v>
      </c>
      <c r="R5" t="str">
        <f>[1]Sheet4!D415</f>
        <v>    2.886868</v>
      </c>
      <c r="S5" t="str">
        <f>[1]Sheet4!E415</f>
        <v>  3.061998</v>
      </c>
      <c r="W5">
        <v>0.58677159999999995</v>
      </c>
      <c r="X5">
        <v>0.53642080000000003</v>
      </c>
      <c r="Y5">
        <v>0.53202039999999995</v>
      </c>
      <c r="Z5">
        <v>0.53871150000000001</v>
      </c>
      <c r="AA5">
        <v>0.4790257</v>
      </c>
      <c r="AB5">
        <v>0.4872244</v>
      </c>
      <c r="AC5">
        <v>0.42852950000000001</v>
      </c>
      <c r="AD5">
        <v>0.41291990000000001</v>
      </c>
      <c r="AE5">
        <v>0.29960530000000002</v>
      </c>
      <c r="AF5">
        <v>0.25818940000000001</v>
      </c>
    </row>
    <row r="6" spans="1:32" x14ac:dyDescent="0.35">
      <c r="H6" s="13">
        <v>2</v>
      </c>
      <c r="I6" s="13" t="s">
        <v>3</v>
      </c>
      <c r="J6" s="13" t="s">
        <v>0</v>
      </c>
      <c r="K6" s="13" t="s">
        <v>64</v>
      </c>
      <c r="L6" s="13">
        <f>X2</f>
        <v>0.4695878</v>
      </c>
      <c r="P6" t="str">
        <f>[1]Sheet4!B416</f>
        <v> 2.442762</v>
      </c>
      <c r="Q6" t="str">
        <f>[1]Sheet4!C416</f>
        <v>   2.67795</v>
      </c>
      <c r="R6" t="str">
        <f>[1]Sheet4!D416</f>
        <v>    2.971062</v>
      </c>
      <c r="S6" t="str">
        <f>[1]Sheet4!E416</f>
        <v>  3.154673</v>
      </c>
    </row>
    <row r="7" spans="1:32" x14ac:dyDescent="0.35">
      <c r="H7" s="13">
        <v>2</v>
      </c>
      <c r="I7" s="13" t="s">
        <v>3</v>
      </c>
      <c r="J7" s="13" t="s">
        <v>2</v>
      </c>
      <c r="K7" s="13" t="s">
        <v>64</v>
      </c>
      <c r="L7" s="13">
        <f>X3</f>
        <v>0.4434225</v>
      </c>
      <c r="P7" t="str">
        <f>[1]Sheet4!B417</f>
        <v>  2.39676</v>
      </c>
      <c r="Q7" t="str">
        <f>[1]Sheet4!C417</f>
        <v>  2.513925</v>
      </c>
      <c r="R7" t="str">
        <f>[1]Sheet4!D417</f>
        <v>    2.703494</v>
      </c>
      <c r="S7" t="str">
        <f>[1]Sheet4!E417</f>
        <v>   2.99667</v>
      </c>
    </row>
    <row r="8" spans="1:32" x14ac:dyDescent="0.35">
      <c r="H8" s="13">
        <v>2</v>
      </c>
      <c r="I8" s="13" t="s">
        <v>1</v>
      </c>
      <c r="J8" s="13" t="s">
        <v>0</v>
      </c>
      <c r="K8" s="13" t="s">
        <v>64</v>
      </c>
      <c r="L8" s="13">
        <f>X4</f>
        <v>0.53795720000000002</v>
      </c>
      <c r="P8" t="str">
        <f>[1]Sheet4!B418</f>
        <v> 2.304506</v>
      </c>
      <c r="Q8" t="str">
        <f>[1]Sheet4!C418</f>
        <v>  2.501168</v>
      </c>
      <c r="R8" t="str">
        <f>[1]Sheet4!D418</f>
        <v>    2.496504</v>
      </c>
      <c r="S8" t="str">
        <f>[1]Sheet4!E418</f>
        <v>  2.964144</v>
      </c>
    </row>
    <row r="9" spans="1:32" x14ac:dyDescent="0.35">
      <c r="H9" s="13">
        <v>2</v>
      </c>
      <c r="I9" s="13" t="s">
        <v>1</v>
      </c>
      <c r="J9" s="13" t="s">
        <v>2</v>
      </c>
      <c r="K9" s="13" t="s">
        <v>64</v>
      </c>
      <c r="L9" s="13">
        <f>X5</f>
        <v>0.53642080000000003</v>
      </c>
      <c r="P9" t="str">
        <f>[1]Sheet4!B419</f>
        <v> 2.182329</v>
      </c>
      <c r="Q9" t="str">
        <f>[1]Sheet4!C419</f>
        <v>  2.459194</v>
      </c>
      <c r="R9" t="str">
        <f>[1]Sheet4!D419</f>
        <v>    2.467524</v>
      </c>
      <c r="S9" t="str">
        <f>[1]Sheet4!E419</f>
        <v>   2.95845</v>
      </c>
    </row>
    <row r="10" spans="1:32" x14ac:dyDescent="0.35">
      <c r="H10" s="13">
        <v>3</v>
      </c>
      <c r="I10" s="13" t="s">
        <v>3</v>
      </c>
      <c r="J10" s="13" t="s">
        <v>0</v>
      </c>
      <c r="K10" s="13" t="s">
        <v>64</v>
      </c>
      <c r="L10" s="13">
        <f>Y2</f>
        <v>0.44743719999999998</v>
      </c>
      <c r="P10" t="str">
        <f>[1]Sheet4!B420</f>
        <v> 2.079427</v>
      </c>
      <c r="Q10" t="str">
        <f>[1]Sheet4!C420</f>
        <v>  2.173567</v>
      </c>
      <c r="R10" t="str">
        <f>[1]Sheet4!D420</f>
        <v>    2.137841</v>
      </c>
      <c r="S10" t="str">
        <f>[1]Sheet4!E420</f>
        <v>  2.419705</v>
      </c>
    </row>
    <row r="11" spans="1:32" x14ac:dyDescent="0.35">
      <c r="H11" s="13">
        <v>3</v>
      </c>
      <c r="I11" s="13" t="s">
        <v>3</v>
      </c>
      <c r="J11" s="13" t="s">
        <v>2</v>
      </c>
      <c r="K11" s="13" t="s">
        <v>64</v>
      </c>
      <c r="L11" s="13">
        <f>Y3</f>
        <v>0.46216030000000002</v>
      </c>
      <c r="P11" t="str">
        <f>[1]Sheet4!B421</f>
        <v> 1.811673</v>
      </c>
      <c r="Q11" t="str">
        <f>[1]Sheet4!C421</f>
        <v>  1.968769</v>
      </c>
      <c r="R11" t="str">
        <f>[1]Sheet4!D421</f>
        <v>    1.609057</v>
      </c>
      <c r="S11" t="str">
        <f>[1]Sheet4!E421</f>
        <v>  1.772882</v>
      </c>
    </row>
    <row r="12" spans="1:32" x14ac:dyDescent="0.35">
      <c r="H12" s="13">
        <v>3</v>
      </c>
      <c r="I12" s="13" t="s">
        <v>1</v>
      </c>
      <c r="J12" s="13" t="s">
        <v>0</v>
      </c>
      <c r="K12" s="13" t="s">
        <v>64</v>
      </c>
      <c r="L12" s="13">
        <f>Y4</f>
        <v>0.54411569999999998</v>
      </c>
    </row>
    <row r="13" spans="1:32" x14ac:dyDescent="0.35">
      <c r="H13" s="13">
        <v>3</v>
      </c>
      <c r="I13" s="13" t="s">
        <v>1</v>
      </c>
      <c r="J13" s="13" t="s">
        <v>2</v>
      </c>
      <c r="K13" s="13" t="s">
        <v>64</v>
      </c>
      <c r="L13" s="13">
        <f>Y5</f>
        <v>0.53202039999999995</v>
      </c>
    </row>
    <row r="14" spans="1:32" x14ac:dyDescent="0.35">
      <c r="H14" s="13">
        <v>4</v>
      </c>
      <c r="I14" s="13" t="s">
        <v>3</v>
      </c>
      <c r="J14" s="13" t="s">
        <v>0</v>
      </c>
      <c r="K14" s="13" t="s">
        <v>64</v>
      </c>
      <c r="L14" s="13">
        <f>Z2</f>
        <v>0.46384439999999999</v>
      </c>
    </row>
    <row r="15" spans="1:32" x14ac:dyDescent="0.35">
      <c r="H15" s="13">
        <v>4</v>
      </c>
      <c r="I15" s="13" t="s">
        <v>3</v>
      </c>
      <c r="J15" s="13" t="s">
        <v>2</v>
      </c>
      <c r="K15" s="13" t="s">
        <v>64</v>
      </c>
      <c r="L15" s="13">
        <f>Z3</f>
        <v>0.44558599999999998</v>
      </c>
    </row>
    <row r="16" spans="1:32" x14ac:dyDescent="0.35">
      <c r="H16" s="13">
        <v>4</v>
      </c>
      <c r="I16" s="13" t="s">
        <v>1</v>
      </c>
      <c r="J16" s="13" t="s">
        <v>0</v>
      </c>
      <c r="K16" s="13" t="s">
        <v>64</v>
      </c>
      <c r="L16" s="13">
        <f>Z4</f>
        <v>0.56307890000000005</v>
      </c>
    </row>
    <row r="17" spans="8:12" x14ac:dyDescent="0.35">
      <c r="H17" s="13">
        <v>4</v>
      </c>
      <c r="I17" s="13" t="s">
        <v>1</v>
      </c>
      <c r="J17" s="13" t="s">
        <v>2</v>
      </c>
      <c r="K17" s="13" t="s">
        <v>64</v>
      </c>
      <c r="L17" s="13">
        <f>Z5</f>
        <v>0.53871150000000001</v>
      </c>
    </row>
    <row r="18" spans="8:12" x14ac:dyDescent="0.35">
      <c r="H18" s="13">
        <v>5</v>
      </c>
      <c r="I18" s="13" t="s">
        <v>3</v>
      </c>
      <c r="J18" s="13" t="s">
        <v>0</v>
      </c>
      <c r="K18" s="13" t="s">
        <v>64</v>
      </c>
      <c r="L18" s="13">
        <f>AA2</f>
        <v>0.44679990000000003</v>
      </c>
    </row>
    <row r="19" spans="8:12" x14ac:dyDescent="0.35">
      <c r="H19" s="13">
        <v>5</v>
      </c>
      <c r="I19" s="13" t="s">
        <v>3</v>
      </c>
      <c r="J19" s="13" t="s">
        <v>2</v>
      </c>
      <c r="K19" s="13" t="s">
        <v>64</v>
      </c>
      <c r="L19" s="13">
        <f>AA3</f>
        <v>0.43595489999999998</v>
      </c>
    </row>
    <row r="20" spans="8:12" x14ac:dyDescent="0.35">
      <c r="H20" s="13">
        <v>5</v>
      </c>
      <c r="I20" s="13" t="s">
        <v>1</v>
      </c>
      <c r="J20" s="13" t="s">
        <v>0</v>
      </c>
      <c r="K20" s="13" t="s">
        <v>64</v>
      </c>
      <c r="L20" s="13">
        <f>AA4</f>
        <v>0.47662139999999997</v>
      </c>
    </row>
    <row r="21" spans="8:12" x14ac:dyDescent="0.35">
      <c r="H21" s="13">
        <v>5</v>
      </c>
      <c r="I21" s="13" t="s">
        <v>1</v>
      </c>
      <c r="J21" s="13" t="s">
        <v>2</v>
      </c>
      <c r="K21" s="13" t="s">
        <v>64</v>
      </c>
      <c r="L21" s="13">
        <f>AA5</f>
        <v>0.4790257</v>
      </c>
    </row>
    <row r="22" spans="8:12" x14ac:dyDescent="0.35">
      <c r="H22" s="13">
        <v>6</v>
      </c>
      <c r="I22" s="13" t="s">
        <v>3</v>
      </c>
      <c r="J22" s="13" t="s">
        <v>0</v>
      </c>
      <c r="K22" s="13" t="s">
        <v>64</v>
      </c>
      <c r="L22" s="13">
        <f>AB2</f>
        <v>0.4189177</v>
      </c>
    </row>
    <row r="23" spans="8:12" x14ac:dyDescent="0.35">
      <c r="H23" s="13">
        <v>6</v>
      </c>
      <c r="I23" s="13" t="s">
        <v>3</v>
      </c>
      <c r="J23" s="13" t="s">
        <v>2</v>
      </c>
      <c r="K23" s="13" t="s">
        <v>64</v>
      </c>
      <c r="L23" s="13">
        <f>AB3</f>
        <v>0.40340759999999998</v>
      </c>
    </row>
    <row r="24" spans="8:12" x14ac:dyDescent="0.35">
      <c r="H24" s="13">
        <v>6</v>
      </c>
      <c r="I24" s="13" t="s">
        <v>1</v>
      </c>
      <c r="J24" s="13" t="s">
        <v>0</v>
      </c>
      <c r="K24" s="13" t="s">
        <v>64</v>
      </c>
      <c r="L24" s="13">
        <f>AB4</f>
        <v>0.48144320000000002</v>
      </c>
    </row>
    <row r="25" spans="8:12" x14ac:dyDescent="0.35">
      <c r="H25" s="13">
        <v>6</v>
      </c>
      <c r="I25" s="13" t="s">
        <v>1</v>
      </c>
      <c r="J25" s="13" t="s">
        <v>2</v>
      </c>
      <c r="K25" s="13" t="s">
        <v>64</v>
      </c>
      <c r="L25" s="13">
        <f>AB5</f>
        <v>0.4872244</v>
      </c>
    </row>
    <row r="26" spans="8:12" x14ac:dyDescent="0.35">
      <c r="H26" s="13">
        <v>7</v>
      </c>
      <c r="I26" s="13" t="s">
        <v>3</v>
      </c>
      <c r="J26" s="13" t="s">
        <v>0</v>
      </c>
      <c r="K26" s="13" t="s">
        <v>64</v>
      </c>
      <c r="L26" s="13">
        <f>AC2</f>
        <v>0.38672790000000001</v>
      </c>
    </row>
    <row r="27" spans="8:12" x14ac:dyDescent="0.35">
      <c r="H27" s="13">
        <v>7</v>
      </c>
      <c r="I27" s="13" t="s">
        <v>3</v>
      </c>
      <c r="J27" s="13" t="s">
        <v>2</v>
      </c>
      <c r="K27" s="13" t="s">
        <v>64</v>
      </c>
      <c r="L27" s="13">
        <f>AC3</f>
        <v>0.37202180000000001</v>
      </c>
    </row>
    <row r="28" spans="8:12" x14ac:dyDescent="0.35">
      <c r="H28" s="13">
        <v>7</v>
      </c>
      <c r="I28" s="13" t="s">
        <v>1</v>
      </c>
      <c r="J28" s="13" t="s">
        <v>0</v>
      </c>
      <c r="K28" s="13" t="s">
        <v>64</v>
      </c>
      <c r="L28" s="13">
        <f>AC4</f>
        <v>0.43832910000000003</v>
      </c>
    </row>
    <row r="29" spans="8:12" x14ac:dyDescent="0.35">
      <c r="H29" s="13">
        <v>7</v>
      </c>
      <c r="I29" s="13" t="s">
        <v>1</v>
      </c>
      <c r="J29" s="13" t="s">
        <v>2</v>
      </c>
      <c r="K29" s="13" t="s">
        <v>64</v>
      </c>
      <c r="L29" s="13">
        <f>AC5</f>
        <v>0.42852950000000001</v>
      </c>
    </row>
    <row r="30" spans="8:12" x14ac:dyDescent="0.35">
      <c r="H30" s="13">
        <v>8</v>
      </c>
      <c r="I30" s="13" t="s">
        <v>3</v>
      </c>
      <c r="J30" s="13" t="s">
        <v>0</v>
      </c>
      <c r="K30" s="13" t="s">
        <v>64</v>
      </c>
      <c r="L30" s="13">
        <f>AD2</f>
        <v>0.3461535</v>
      </c>
    </row>
    <row r="31" spans="8:12" x14ac:dyDescent="0.35">
      <c r="H31" s="13">
        <v>8</v>
      </c>
      <c r="I31" s="13" t="s">
        <v>3</v>
      </c>
      <c r="J31" s="13" t="s">
        <v>2</v>
      </c>
      <c r="K31" s="13" t="s">
        <v>64</v>
      </c>
      <c r="L31" s="13">
        <f>AD3</f>
        <v>0.33014569999999999</v>
      </c>
    </row>
    <row r="32" spans="8:12" x14ac:dyDescent="0.35">
      <c r="H32" s="13">
        <v>8</v>
      </c>
      <c r="I32" s="13" t="s">
        <v>1</v>
      </c>
      <c r="J32" s="13" t="s">
        <v>0</v>
      </c>
      <c r="K32" s="13" t="s">
        <v>64</v>
      </c>
      <c r="L32" s="13">
        <f>AD4</f>
        <v>0.42501860000000002</v>
      </c>
    </row>
    <row r="33" spans="8:32" x14ac:dyDescent="0.35">
      <c r="H33" s="13">
        <v>8</v>
      </c>
      <c r="I33" s="13" t="s">
        <v>1</v>
      </c>
      <c r="J33" s="13" t="s">
        <v>2</v>
      </c>
      <c r="K33" s="13" t="s">
        <v>64</v>
      </c>
      <c r="L33" s="13">
        <f>AD5</f>
        <v>0.41291990000000001</v>
      </c>
    </row>
    <row r="34" spans="8:32" x14ac:dyDescent="0.35">
      <c r="H34" s="13">
        <v>9</v>
      </c>
      <c r="I34" s="13" t="s">
        <v>3</v>
      </c>
      <c r="J34" s="13" t="s">
        <v>0</v>
      </c>
      <c r="K34" s="13" t="s">
        <v>64</v>
      </c>
      <c r="L34" s="13">
        <f>AE2</f>
        <v>0.27932380000000001</v>
      </c>
    </row>
    <row r="35" spans="8:32" x14ac:dyDescent="0.35">
      <c r="H35" s="13">
        <v>9</v>
      </c>
      <c r="I35" s="13" t="s">
        <v>3</v>
      </c>
      <c r="J35" s="13" t="s">
        <v>2</v>
      </c>
      <c r="K35" s="13" t="s">
        <v>64</v>
      </c>
      <c r="L35" s="13">
        <f>AE3</f>
        <v>0.27919949999999999</v>
      </c>
    </row>
    <row r="36" spans="8:32" x14ac:dyDescent="0.35">
      <c r="H36" s="13">
        <v>9</v>
      </c>
      <c r="I36" s="13" t="s">
        <v>1</v>
      </c>
      <c r="J36" s="13" t="s">
        <v>0</v>
      </c>
      <c r="K36" s="13" t="s">
        <v>64</v>
      </c>
      <c r="L36" s="13">
        <f>AE4</f>
        <v>0.31659280000000001</v>
      </c>
    </row>
    <row r="37" spans="8:32" x14ac:dyDescent="0.35">
      <c r="H37" s="13">
        <v>9</v>
      </c>
      <c r="I37" s="13" t="s">
        <v>1</v>
      </c>
      <c r="J37" s="13" t="s">
        <v>2</v>
      </c>
      <c r="K37" s="13" t="s">
        <v>64</v>
      </c>
      <c r="L37" s="13">
        <f>AE5</f>
        <v>0.29960530000000002</v>
      </c>
    </row>
    <row r="38" spans="8:32" x14ac:dyDescent="0.35">
      <c r="H38" s="13">
        <v>10</v>
      </c>
      <c r="I38" s="13" t="s">
        <v>3</v>
      </c>
      <c r="J38" s="13" t="s">
        <v>0</v>
      </c>
      <c r="K38" s="13" t="s">
        <v>64</v>
      </c>
      <c r="L38" s="13">
        <f>AF2</f>
        <v>0.23364989999999999</v>
      </c>
    </row>
    <row r="39" spans="8:32" x14ac:dyDescent="0.35">
      <c r="H39" s="13">
        <v>10</v>
      </c>
      <c r="I39" s="13" t="s">
        <v>3</v>
      </c>
      <c r="J39" s="13" t="s">
        <v>2</v>
      </c>
      <c r="K39" s="13" t="s">
        <v>64</v>
      </c>
      <c r="L39" s="13">
        <f t="shared" ref="L39:L41" si="0">AF3</f>
        <v>0.2251495</v>
      </c>
    </row>
    <row r="40" spans="8:32" x14ac:dyDescent="0.35">
      <c r="H40" s="13">
        <v>10</v>
      </c>
      <c r="I40" s="13" t="s">
        <v>1</v>
      </c>
      <c r="J40" s="13" t="s">
        <v>0</v>
      </c>
      <c r="K40" s="13" t="s">
        <v>64</v>
      </c>
      <c r="L40" s="13">
        <f t="shared" si="0"/>
        <v>0.27788000000000002</v>
      </c>
    </row>
    <row r="41" spans="8:32" x14ac:dyDescent="0.35">
      <c r="H41" s="13">
        <v>10</v>
      </c>
      <c r="I41" s="13" t="s">
        <v>1</v>
      </c>
      <c r="J41" s="13" t="s">
        <v>2</v>
      </c>
      <c r="K41" s="13" t="s">
        <v>64</v>
      </c>
      <c r="L41" s="13">
        <f t="shared" si="0"/>
        <v>0.25818940000000001</v>
      </c>
    </row>
    <row r="42" spans="8:32" x14ac:dyDescent="0.35">
      <c r="H42" s="13">
        <v>1</v>
      </c>
      <c r="I42" s="13" t="s">
        <v>3</v>
      </c>
      <c r="J42" s="13" t="s">
        <v>0</v>
      </c>
      <c r="K42" s="13" t="s">
        <v>63</v>
      </c>
      <c r="L42" s="13">
        <f>W42</f>
        <v>0.50506470000000003</v>
      </c>
      <c r="P42" t="str">
        <f>[1]Sheet4!B431</f>
        <v>---------</v>
      </c>
      <c r="Q42" t="str">
        <f>[1]Sheet4!C431</f>
        <v>----------</v>
      </c>
      <c r="R42" t="str">
        <f>[1]Sheet4!D431</f>
        <v>------------</v>
      </c>
      <c r="S42" t="str">
        <f>[1]Sheet4!E431</f>
        <v>----------</v>
      </c>
      <c r="W42">
        <v>0.50506470000000003</v>
      </c>
      <c r="X42">
        <v>0.49025229999999997</v>
      </c>
      <c r="Y42">
        <v>0.47537040000000003</v>
      </c>
      <c r="Z42">
        <v>0.46293400000000001</v>
      </c>
      <c r="AA42">
        <v>0.46355809999999997</v>
      </c>
      <c r="AB42">
        <v>0.40904839999999998</v>
      </c>
      <c r="AC42">
        <v>0.40678769999999997</v>
      </c>
      <c r="AD42">
        <v>0.36037449999999999</v>
      </c>
      <c r="AE42">
        <v>0.28672710000000001</v>
      </c>
      <c r="AF42">
        <v>0.23978650000000001</v>
      </c>
    </row>
    <row r="43" spans="8:32" x14ac:dyDescent="0.35">
      <c r="H43" s="13">
        <v>1</v>
      </c>
      <c r="I43" s="13" t="s">
        <v>3</v>
      </c>
      <c r="J43" s="13" t="s">
        <v>2</v>
      </c>
      <c r="K43" s="13" t="s">
        <v>63</v>
      </c>
      <c r="L43" s="13">
        <f>W43</f>
        <v>0.49108059999999998</v>
      </c>
      <c r="P43" t="str">
        <f>[1]Sheet4!B432</f>
        <v> .4971967</v>
      </c>
      <c r="Q43" t="str">
        <f>[1]Sheet4!C432</f>
        <v>  .4830876</v>
      </c>
      <c r="R43" t="str">
        <f>[1]Sheet4!D432</f>
        <v>    .5585315</v>
      </c>
      <c r="S43" t="str">
        <f>[1]Sheet4!E432</f>
        <v>  .5867716</v>
      </c>
      <c r="W43">
        <v>0.49108059999999998</v>
      </c>
      <c r="X43">
        <v>0.44569160000000002</v>
      </c>
      <c r="Y43">
        <v>0.47825450000000003</v>
      </c>
      <c r="Z43">
        <v>0.44462570000000001</v>
      </c>
      <c r="AA43">
        <v>0.44985829999999999</v>
      </c>
      <c r="AB43">
        <v>0.40520139999999999</v>
      </c>
      <c r="AC43">
        <v>0.38267489999999998</v>
      </c>
      <c r="AD43">
        <v>0.3360284</v>
      </c>
      <c r="AE43">
        <v>0.27549319999999999</v>
      </c>
      <c r="AF43">
        <v>0.22196009999999999</v>
      </c>
    </row>
    <row r="44" spans="8:32" x14ac:dyDescent="0.35">
      <c r="H44" s="13">
        <v>1</v>
      </c>
      <c r="I44" s="13" t="s">
        <v>1</v>
      </c>
      <c r="J44" s="13" t="s">
        <v>0</v>
      </c>
      <c r="K44" s="13" t="s">
        <v>63</v>
      </c>
      <c r="L44" s="13">
        <f>W44</f>
        <v>0.54736499999999999</v>
      </c>
      <c r="P44" t="str">
        <f>[1]Sheet4!B433</f>
        <v> .4695878</v>
      </c>
      <c r="Q44" t="str">
        <f>[1]Sheet4!C433</f>
        <v>  .4434225</v>
      </c>
      <c r="R44" t="str">
        <f>[1]Sheet4!D433</f>
        <v>    .5379572</v>
      </c>
      <c r="S44" t="str">
        <f>[1]Sheet4!E433</f>
        <v>  .5364208</v>
      </c>
      <c r="W44">
        <v>0.54736499999999999</v>
      </c>
      <c r="X44">
        <v>0.55573899999999998</v>
      </c>
      <c r="Y44">
        <v>0.55590519999999999</v>
      </c>
      <c r="Z44">
        <v>0.56337060000000005</v>
      </c>
      <c r="AA44">
        <v>0.48998449999999999</v>
      </c>
      <c r="AB44">
        <v>0.49584859999999997</v>
      </c>
      <c r="AC44">
        <v>0.45191039999999999</v>
      </c>
      <c r="AD44">
        <v>0.44301190000000001</v>
      </c>
      <c r="AE44">
        <v>0.3371556</v>
      </c>
      <c r="AF44">
        <v>0.26488440000000002</v>
      </c>
    </row>
    <row r="45" spans="8:32" x14ac:dyDescent="0.35">
      <c r="H45" s="13">
        <v>1</v>
      </c>
      <c r="I45" s="13" t="s">
        <v>1</v>
      </c>
      <c r="J45" s="13" t="s">
        <v>2</v>
      </c>
      <c r="K45" s="13" t="s">
        <v>63</v>
      </c>
      <c r="L45" s="13">
        <f>W45</f>
        <v>0.58160409999999996</v>
      </c>
      <c r="P45" t="str">
        <f>[1]Sheet4!B434</f>
        <v> .4474372</v>
      </c>
      <c r="Q45" t="str">
        <f>[1]Sheet4!C434</f>
        <v>  .4621603</v>
      </c>
      <c r="R45" t="str">
        <f>[1]Sheet4!D434</f>
        <v>    .5441157</v>
      </c>
      <c r="S45" t="str">
        <f>[1]Sheet4!E434</f>
        <v>  .5320204</v>
      </c>
      <c r="W45">
        <v>0.58160409999999996</v>
      </c>
      <c r="X45">
        <v>0.54857429999999996</v>
      </c>
      <c r="Y45">
        <v>0.54743819999999999</v>
      </c>
      <c r="Z45">
        <v>0.54807189999999995</v>
      </c>
      <c r="AA45">
        <v>0.4792188</v>
      </c>
      <c r="AB45">
        <v>0.47788180000000002</v>
      </c>
      <c r="AC45">
        <v>0.43123309999999998</v>
      </c>
      <c r="AD45">
        <v>0.42502210000000001</v>
      </c>
      <c r="AE45">
        <v>0.2546583</v>
      </c>
      <c r="AF45">
        <v>0.28010699999999999</v>
      </c>
    </row>
    <row r="46" spans="8:32" x14ac:dyDescent="0.35">
      <c r="H46" s="13">
        <v>2</v>
      </c>
      <c r="I46" s="13" t="s">
        <v>3</v>
      </c>
      <c r="J46" s="13" t="s">
        <v>0</v>
      </c>
      <c r="K46" s="13" t="s">
        <v>63</v>
      </c>
      <c r="L46" s="13">
        <f>X42</f>
        <v>0.49025229999999997</v>
      </c>
      <c r="P46" t="str">
        <f>[1]Sheet4!B435</f>
        <v> .4638444</v>
      </c>
      <c r="Q46" t="str">
        <f>[1]Sheet4!C435</f>
        <v>   .445586</v>
      </c>
      <c r="R46" t="str">
        <f>[1]Sheet4!D435</f>
        <v>    .5630789</v>
      </c>
      <c r="S46" t="str">
        <f>[1]Sheet4!E435</f>
        <v>  .5387115</v>
      </c>
    </row>
    <row r="47" spans="8:32" x14ac:dyDescent="0.35">
      <c r="H47" s="13">
        <v>2</v>
      </c>
      <c r="I47" s="13" t="s">
        <v>3</v>
      </c>
      <c r="J47" s="13" t="s">
        <v>2</v>
      </c>
      <c r="K47" s="13" t="s">
        <v>63</v>
      </c>
      <c r="L47" s="13">
        <f>X43</f>
        <v>0.44569160000000002</v>
      </c>
      <c r="P47" t="str">
        <f>[1]Sheet4!B436</f>
        <v> .4467999</v>
      </c>
      <c r="Q47" t="str">
        <f>[1]Sheet4!C436</f>
        <v>  .4359549</v>
      </c>
      <c r="R47" t="str">
        <f>[1]Sheet4!D436</f>
        <v>    .4766214</v>
      </c>
      <c r="S47" t="str">
        <f>[1]Sheet4!E436</f>
        <v>  .4790257</v>
      </c>
    </row>
    <row r="48" spans="8:32" x14ac:dyDescent="0.35">
      <c r="H48" s="13">
        <v>2</v>
      </c>
      <c r="I48" s="13" t="s">
        <v>1</v>
      </c>
      <c r="J48" s="13" t="s">
        <v>0</v>
      </c>
      <c r="K48" s="13" t="s">
        <v>63</v>
      </c>
      <c r="L48" s="13">
        <f>X44</f>
        <v>0.55573899999999998</v>
      </c>
      <c r="P48" t="str">
        <f>[1]Sheet4!B437</f>
        <v> .4189177</v>
      </c>
      <c r="Q48" t="str">
        <f>[1]Sheet4!C437</f>
        <v>  .4034076</v>
      </c>
      <c r="R48" t="str">
        <f>[1]Sheet4!D437</f>
        <v>    .4814432</v>
      </c>
      <c r="S48" t="str">
        <f>[1]Sheet4!E437</f>
        <v>  .4872244</v>
      </c>
    </row>
    <row r="49" spans="8:19" x14ac:dyDescent="0.35">
      <c r="H49" s="13">
        <v>2</v>
      </c>
      <c r="I49" s="13" t="s">
        <v>1</v>
      </c>
      <c r="J49" s="13" t="s">
        <v>2</v>
      </c>
      <c r="K49" s="13" t="s">
        <v>63</v>
      </c>
      <c r="L49" s="13">
        <f>X45</f>
        <v>0.54857429999999996</v>
      </c>
      <c r="P49" t="str">
        <f>[1]Sheet4!B438</f>
        <v> .3867279</v>
      </c>
      <c r="Q49" t="str">
        <f>[1]Sheet4!C438</f>
        <v>  .3720218</v>
      </c>
      <c r="R49" t="str">
        <f>[1]Sheet4!D438</f>
        <v>    .4383291</v>
      </c>
      <c r="S49" t="str">
        <f>[1]Sheet4!E438</f>
        <v>  .4285295</v>
      </c>
    </row>
    <row r="50" spans="8:19" x14ac:dyDescent="0.35">
      <c r="H50" s="13">
        <v>3</v>
      </c>
      <c r="I50" s="13" t="s">
        <v>3</v>
      </c>
      <c r="J50" s="13" t="s">
        <v>0</v>
      </c>
      <c r="K50" s="13" t="s">
        <v>63</v>
      </c>
      <c r="L50" s="13">
        <f>Y42</f>
        <v>0.47537040000000003</v>
      </c>
      <c r="P50" t="str">
        <f>[1]Sheet4!B439</f>
        <v> .3461535</v>
      </c>
      <c r="Q50" t="str">
        <f>[1]Sheet4!C439</f>
        <v>  .3301457</v>
      </c>
      <c r="R50" t="str">
        <f>[1]Sheet4!D439</f>
        <v>    .4250186</v>
      </c>
      <c r="S50" t="str">
        <f>[1]Sheet4!E439</f>
        <v>  .4129199</v>
      </c>
    </row>
    <row r="51" spans="8:19" x14ac:dyDescent="0.35">
      <c r="H51" s="13">
        <v>3</v>
      </c>
      <c r="I51" s="13" t="s">
        <v>3</v>
      </c>
      <c r="J51" s="13" t="s">
        <v>2</v>
      </c>
      <c r="K51" s="13" t="s">
        <v>63</v>
      </c>
      <c r="L51" s="13">
        <f>Y43</f>
        <v>0.47825450000000003</v>
      </c>
      <c r="P51" t="str">
        <f>[1]Sheet4!B440</f>
        <v> .2793238</v>
      </c>
      <c r="Q51" t="str">
        <f>[1]Sheet4!C440</f>
        <v>  .2791995</v>
      </c>
      <c r="R51" t="str">
        <f>[1]Sheet4!D440</f>
        <v>    .3165928</v>
      </c>
      <c r="S51" t="str">
        <f>[1]Sheet4!E440</f>
        <v>  .2996053</v>
      </c>
    </row>
    <row r="52" spans="8:19" x14ac:dyDescent="0.35">
      <c r="H52" s="13">
        <v>3</v>
      </c>
      <c r="I52" s="13" t="s">
        <v>1</v>
      </c>
      <c r="J52" s="13" t="s">
        <v>0</v>
      </c>
      <c r="K52" s="13" t="s">
        <v>63</v>
      </c>
      <c r="L52" s="13">
        <f>Y44</f>
        <v>0.55590519999999999</v>
      </c>
    </row>
    <row r="53" spans="8:19" x14ac:dyDescent="0.35">
      <c r="H53" s="13">
        <v>3</v>
      </c>
      <c r="I53" s="13" t="s">
        <v>1</v>
      </c>
      <c r="J53" s="13" t="s">
        <v>2</v>
      </c>
      <c r="K53" s="13" t="s">
        <v>63</v>
      </c>
      <c r="L53" s="13">
        <f>Y45</f>
        <v>0.54743819999999999</v>
      </c>
    </row>
    <row r="54" spans="8:19" x14ac:dyDescent="0.35">
      <c r="H54" s="13">
        <v>4</v>
      </c>
      <c r="I54" s="13" t="s">
        <v>3</v>
      </c>
      <c r="J54" s="13" t="s">
        <v>0</v>
      </c>
      <c r="K54" s="13" t="s">
        <v>63</v>
      </c>
      <c r="L54" s="13">
        <f>Z42</f>
        <v>0.46293400000000001</v>
      </c>
    </row>
    <row r="55" spans="8:19" x14ac:dyDescent="0.35">
      <c r="H55" s="13">
        <v>4</v>
      </c>
      <c r="I55" s="13" t="s">
        <v>3</v>
      </c>
      <c r="J55" s="13" t="s">
        <v>2</v>
      </c>
      <c r="K55" s="13" t="s">
        <v>63</v>
      </c>
      <c r="L55" s="13">
        <f>Z43</f>
        <v>0.44462570000000001</v>
      </c>
    </row>
    <row r="56" spans="8:19" x14ac:dyDescent="0.35">
      <c r="H56" s="13">
        <v>4</v>
      </c>
      <c r="I56" s="13" t="s">
        <v>1</v>
      </c>
      <c r="J56" s="13" t="s">
        <v>0</v>
      </c>
      <c r="K56" s="13" t="s">
        <v>63</v>
      </c>
      <c r="L56" s="13">
        <f>Z44</f>
        <v>0.56337060000000005</v>
      </c>
    </row>
    <row r="57" spans="8:19" x14ac:dyDescent="0.35">
      <c r="H57" s="13">
        <v>4</v>
      </c>
      <c r="I57" s="13" t="s">
        <v>1</v>
      </c>
      <c r="J57" s="13" t="s">
        <v>2</v>
      </c>
      <c r="K57" s="13" t="s">
        <v>63</v>
      </c>
      <c r="L57" s="13">
        <f>Z45</f>
        <v>0.54807189999999995</v>
      </c>
    </row>
    <row r="58" spans="8:19" x14ac:dyDescent="0.35">
      <c r="H58" s="13">
        <v>5</v>
      </c>
      <c r="I58" s="13" t="s">
        <v>3</v>
      </c>
      <c r="J58" s="13" t="s">
        <v>0</v>
      </c>
      <c r="K58" s="13" t="s">
        <v>63</v>
      </c>
      <c r="L58" s="13">
        <f>AA42</f>
        <v>0.46355809999999997</v>
      </c>
    </row>
    <row r="59" spans="8:19" x14ac:dyDescent="0.35">
      <c r="H59" s="13">
        <v>5</v>
      </c>
      <c r="I59" s="13" t="s">
        <v>3</v>
      </c>
      <c r="J59" s="13" t="s">
        <v>2</v>
      </c>
      <c r="K59" s="13" t="s">
        <v>63</v>
      </c>
      <c r="L59" s="13">
        <f>AA43</f>
        <v>0.44985829999999999</v>
      </c>
    </row>
    <row r="60" spans="8:19" x14ac:dyDescent="0.35">
      <c r="H60" s="13">
        <v>5</v>
      </c>
      <c r="I60" s="13" t="s">
        <v>1</v>
      </c>
      <c r="J60" s="13" t="s">
        <v>0</v>
      </c>
      <c r="K60" s="13" t="s">
        <v>63</v>
      </c>
      <c r="L60" s="13">
        <f>AA44</f>
        <v>0.48998449999999999</v>
      </c>
    </row>
    <row r="61" spans="8:19" x14ac:dyDescent="0.35">
      <c r="H61" s="13">
        <v>5</v>
      </c>
      <c r="I61" s="13" t="s">
        <v>1</v>
      </c>
      <c r="J61" s="13" t="s">
        <v>2</v>
      </c>
      <c r="K61" s="13" t="s">
        <v>63</v>
      </c>
      <c r="L61" s="13">
        <f>AA45</f>
        <v>0.4792188</v>
      </c>
    </row>
    <row r="62" spans="8:19" x14ac:dyDescent="0.35">
      <c r="H62" s="13">
        <v>6</v>
      </c>
      <c r="I62" s="13" t="s">
        <v>3</v>
      </c>
      <c r="J62" s="13" t="s">
        <v>0</v>
      </c>
      <c r="K62" s="13" t="s">
        <v>63</v>
      </c>
      <c r="L62" s="13">
        <f>AB42</f>
        <v>0.40904839999999998</v>
      </c>
    </row>
    <row r="63" spans="8:19" x14ac:dyDescent="0.35">
      <c r="H63" s="13">
        <v>6</v>
      </c>
      <c r="I63" s="13" t="s">
        <v>3</v>
      </c>
      <c r="J63" s="13" t="s">
        <v>2</v>
      </c>
      <c r="K63" s="13" t="s">
        <v>63</v>
      </c>
      <c r="L63" s="13">
        <f>AB43</f>
        <v>0.40520139999999999</v>
      </c>
    </row>
    <row r="64" spans="8:19" x14ac:dyDescent="0.35">
      <c r="H64" s="13">
        <v>6</v>
      </c>
      <c r="I64" s="13" t="s">
        <v>1</v>
      </c>
      <c r="J64" s="13" t="s">
        <v>0</v>
      </c>
      <c r="K64" s="13" t="s">
        <v>63</v>
      </c>
      <c r="L64" s="13">
        <f>AB44</f>
        <v>0.49584859999999997</v>
      </c>
    </row>
    <row r="65" spans="8:12" x14ac:dyDescent="0.35">
      <c r="H65" s="13">
        <v>6</v>
      </c>
      <c r="I65" s="13" t="s">
        <v>1</v>
      </c>
      <c r="J65" s="13" t="s">
        <v>2</v>
      </c>
      <c r="K65" s="13" t="s">
        <v>63</v>
      </c>
      <c r="L65" s="13">
        <f>AB45</f>
        <v>0.47788180000000002</v>
      </c>
    </row>
    <row r="66" spans="8:12" x14ac:dyDescent="0.35">
      <c r="H66" s="13">
        <v>7</v>
      </c>
      <c r="I66" s="13" t="s">
        <v>3</v>
      </c>
      <c r="J66" s="13" t="s">
        <v>0</v>
      </c>
      <c r="K66" s="13" t="s">
        <v>63</v>
      </c>
      <c r="L66" s="13">
        <f>AC42</f>
        <v>0.40678769999999997</v>
      </c>
    </row>
    <row r="67" spans="8:12" x14ac:dyDescent="0.35">
      <c r="H67" s="13">
        <v>7</v>
      </c>
      <c r="I67" s="13" t="s">
        <v>3</v>
      </c>
      <c r="J67" s="13" t="s">
        <v>2</v>
      </c>
      <c r="K67" s="13" t="s">
        <v>63</v>
      </c>
      <c r="L67" s="13">
        <f>AC43</f>
        <v>0.38267489999999998</v>
      </c>
    </row>
    <row r="68" spans="8:12" x14ac:dyDescent="0.35">
      <c r="H68" s="13">
        <v>7</v>
      </c>
      <c r="I68" s="13" t="s">
        <v>1</v>
      </c>
      <c r="J68" s="13" t="s">
        <v>0</v>
      </c>
      <c r="K68" s="13" t="s">
        <v>63</v>
      </c>
      <c r="L68" s="13">
        <f>AC44</f>
        <v>0.45191039999999999</v>
      </c>
    </row>
    <row r="69" spans="8:12" x14ac:dyDescent="0.35">
      <c r="H69" s="13">
        <v>7</v>
      </c>
      <c r="I69" s="13" t="s">
        <v>1</v>
      </c>
      <c r="J69" s="13" t="s">
        <v>2</v>
      </c>
      <c r="K69" s="13" t="s">
        <v>63</v>
      </c>
      <c r="L69" s="13">
        <f>AC45</f>
        <v>0.43123309999999998</v>
      </c>
    </row>
    <row r="70" spans="8:12" x14ac:dyDescent="0.35">
      <c r="H70" s="13">
        <v>8</v>
      </c>
      <c r="I70" s="13" t="s">
        <v>3</v>
      </c>
      <c r="J70" s="13" t="s">
        <v>0</v>
      </c>
      <c r="K70" s="13" t="s">
        <v>63</v>
      </c>
      <c r="L70" s="13">
        <f>AD42</f>
        <v>0.36037449999999999</v>
      </c>
    </row>
    <row r="71" spans="8:12" x14ac:dyDescent="0.35">
      <c r="H71" s="13">
        <v>8</v>
      </c>
      <c r="I71" s="13" t="s">
        <v>3</v>
      </c>
      <c r="J71" s="13" t="s">
        <v>2</v>
      </c>
      <c r="K71" s="13" t="s">
        <v>63</v>
      </c>
      <c r="L71" s="13">
        <f>AD43</f>
        <v>0.3360284</v>
      </c>
    </row>
    <row r="72" spans="8:12" x14ac:dyDescent="0.35">
      <c r="H72" s="13">
        <v>8</v>
      </c>
      <c r="I72" s="13" t="s">
        <v>1</v>
      </c>
      <c r="J72" s="13" t="s">
        <v>0</v>
      </c>
      <c r="K72" s="13" t="s">
        <v>63</v>
      </c>
      <c r="L72" s="13">
        <f>AD44</f>
        <v>0.44301190000000001</v>
      </c>
    </row>
    <row r="73" spans="8:12" x14ac:dyDescent="0.35">
      <c r="H73" s="13">
        <v>8</v>
      </c>
      <c r="I73" s="13" t="s">
        <v>1</v>
      </c>
      <c r="J73" s="13" t="s">
        <v>2</v>
      </c>
      <c r="K73" s="13" t="s">
        <v>63</v>
      </c>
      <c r="L73" s="13">
        <f>AD45</f>
        <v>0.42502210000000001</v>
      </c>
    </row>
    <row r="74" spans="8:12" x14ac:dyDescent="0.35">
      <c r="H74" s="13">
        <v>9</v>
      </c>
      <c r="I74" s="13" t="s">
        <v>3</v>
      </c>
      <c r="J74" s="13" t="s">
        <v>0</v>
      </c>
      <c r="K74" s="13" t="s">
        <v>63</v>
      </c>
      <c r="L74" s="13">
        <f>AE42</f>
        <v>0.28672710000000001</v>
      </c>
    </row>
    <row r="75" spans="8:12" x14ac:dyDescent="0.35">
      <c r="H75" s="13">
        <v>9</v>
      </c>
      <c r="I75" s="13" t="s">
        <v>3</v>
      </c>
      <c r="J75" s="13" t="s">
        <v>2</v>
      </c>
      <c r="K75" s="13" t="s">
        <v>63</v>
      </c>
      <c r="L75" s="13">
        <f>AE43</f>
        <v>0.27549319999999999</v>
      </c>
    </row>
    <row r="76" spans="8:12" x14ac:dyDescent="0.35">
      <c r="H76" s="13">
        <v>9</v>
      </c>
      <c r="I76" s="13" t="s">
        <v>1</v>
      </c>
      <c r="J76" s="13" t="s">
        <v>0</v>
      </c>
      <c r="K76" s="13" t="s">
        <v>63</v>
      </c>
      <c r="L76" s="13">
        <f>AE44</f>
        <v>0.3371556</v>
      </c>
    </row>
    <row r="77" spans="8:12" x14ac:dyDescent="0.35">
      <c r="H77" s="13">
        <v>9</v>
      </c>
      <c r="I77" s="13" t="s">
        <v>1</v>
      </c>
      <c r="J77" s="13" t="s">
        <v>2</v>
      </c>
      <c r="K77" s="13" t="s">
        <v>63</v>
      </c>
      <c r="L77" s="13">
        <f>AE45</f>
        <v>0.2546583</v>
      </c>
    </row>
    <row r="78" spans="8:12" x14ac:dyDescent="0.35">
      <c r="H78" s="13">
        <v>10</v>
      </c>
      <c r="I78" s="13" t="s">
        <v>3</v>
      </c>
      <c r="J78" s="13" t="s">
        <v>0</v>
      </c>
      <c r="K78" s="13" t="s">
        <v>63</v>
      </c>
      <c r="L78" s="13">
        <f>AF42</f>
        <v>0.23978650000000001</v>
      </c>
    </row>
    <row r="79" spans="8:12" x14ac:dyDescent="0.35">
      <c r="H79" s="13">
        <v>10</v>
      </c>
      <c r="I79" s="13" t="s">
        <v>3</v>
      </c>
      <c r="J79" s="13" t="s">
        <v>2</v>
      </c>
      <c r="K79" s="13" t="s">
        <v>63</v>
      </c>
      <c r="L79" s="13">
        <f t="shared" ref="L79:L81" si="1">AF43</f>
        <v>0.22196009999999999</v>
      </c>
    </row>
    <row r="80" spans="8:12" x14ac:dyDescent="0.35">
      <c r="H80" s="13">
        <v>10</v>
      </c>
      <c r="I80" s="13" t="s">
        <v>1</v>
      </c>
      <c r="J80" s="13" t="s">
        <v>0</v>
      </c>
      <c r="K80" s="13" t="s">
        <v>63</v>
      </c>
      <c r="L80" s="13">
        <f t="shared" si="1"/>
        <v>0.26488440000000002</v>
      </c>
    </row>
    <row r="81" spans="1:32" x14ac:dyDescent="0.35">
      <c r="H81" s="13">
        <v>10</v>
      </c>
      <c r="I81" s="13" t="s">
        <v>1</v>
      </c>
      <c r="J81" s="13" t="s">
        <v>2</v>
      </c>
      <c r="K81" s="13" t="s">
        <v>63</v>
      </c>
      <c r="L81" s="13">
        <f t="shared" si="1"/>
        <v>0.28010699999999999</v>
      </c>
    </row>
    <row r="82" spans="1:32" x14ac:dyDescent="0.35">
      <c r="A82" t="s">
        <v>14</v>
      </c>
      <c r="D82" t="s">
        <v>46</v>
      </c>
      <c r="E82" t="s">
        <v>5</v>
      </c>
      <c r="F82" t="s">
        <v>45</v>
      </c>
      <c r="G82">
        <v>80</v>
      </c>
      <c r="H82" s="13">
        <v>1</v>
      </c>
      <c r="I82" s="13" t="s">
        <v>3</v>
      </c>
      <c r="J82" s="13" t="s">
        <v>0</v>
      </c>
      <c r="K82" s="13" t="s">
        <v>64</v>
      </c>
      <c r="L82" s="13">
        <f>W82</f>
        <v>9.7536600000000001E-2</v>
      </c>
      <c r="P82" t="str">
        <f>[1]Sheet4!B488</f>
        <v>---------</v>
      </c>
      <c r="Q82" t="str">
        <f>[1]Sheet4!C488</f>
        <v>----------</v>
      </c>
      <c r="R82" t="str">
        <f>[1]Sheet4!D488</f>
        <v>------------</v>
      </c>
      <c r="S82" t="str">
        <f>[1]Sheet4!E488</f>
        <v>----------</v>
      </c>
      <c r="W82">
        <v>9.7536600000000001E-2</v>
      </c>
      <c r="X82">
        <v>9.6536999999999998E-2</v>
      </c>
      <c r="Y82">
        <v>9.5416399999999998E-2</v>
      </c>
      <c r="Z82">
        <v>9.4818100000000002E-2</v>
      </c>
      <c r="AA82">
        <v>8.9997300000000002E-2</v>
      </c>
      <c r="AB82">
        <v>8.9980500000000005E-2</v>
      </c>
      <c r="AC82">
        <v>9.6178100000000002E-2</v>
      </c>
      <c r="AD82">
        <v>8.5726800000000006E-2</v>
      </c>
      <c r="AE82">
        <v>8.1597299999999998E-2</v>
      </c>
      <c r="AF82">
        <v>7.6088000000000003E-2</v>
      </c>
    </row>
    <row r="83" spans="1:32" x14ac:dyDescent="0.35">
      <c r="H83" s="13">
        <v>1</v>
      </c>
      <c r="I83" s="13" t="s">
        <v>3</v>
      </c>
      <c r="J83" s="13" t="s">
        <v>2</v>
      </c>
      <c r="K83" s="13" t="s">
        <v>64</v>
      </c>
      <c r="L83" s="13">
        <f>W83</f>
        <v>0.103494</v>
      </c>
      <c r="P83" t="str">
        <f>[1]Sheet4!B489</f>
        <v> .0418325</v>
      </c>
      <c r="Q83" t="str">
        <f>[1]Sheet4!C489</f>
        <v>  .0467364</v>
      </c>
      <c r="R83" t="str">
        <f>[1]Sheet4!D489</f>
        <v>    .0390539</v>
      </c>
      <c r="S83" t="str">
        <f>[1]Sheet4!E489</f>
        <v>  .0358867</v>
      </c>
      <c r="W83">
        <v>0.103494</v>
      </c>
      <c r="X83">
        <v>0.1046907</v>
      </c>
      <c r="Y83">
        <v>9.4107499999999997E-2</v>
      </c>
      <c r="Z83">
        <v>0.110681</v>
      </c>
      <c r="AA83">
        <v>8.8466600000000006E-2</v>
      </c>
      <c r="AB83">
        <v>8.8461700000000004E-2</v>
      </c>
      <c r="AC83">
        <v>9.0718800000000002E-2</v>
      </c>
      <c r="AD83">
        <v>9.5719600000000002E-2</v>
      </c>
      <c r="AE83">
        <v>8.8320099999999999E-2</v>
      </c>
      <c r="AF83">
        <v>7.9269800000000001E-2</v>
      </c>
    </row>
    <row r="84" spans="1:32" x14ac:dyDescent="0.35">
      <c r="H84" s="13">
        <v>1</v>
      </c>
      <c r="I84" s="13" t="s">
        <v>1</v>
      </c>
      <c r="J84" s="13" t="s">
        <v>0</v>
      </c>
      <c r="K84" s="13" t="s">
        <v>64</v>
      </c>
      <c r="L84" s="13">
        <f>W84</f>
        <v>9.9584599999999995E-2</v>
      </c>
      <c r="P84" t="str">
        <f>[1]Sheet4!B490</f>
        <v> .0471301</v>
      </c>
      <c r="Q84" t="str">
        <f>[1]Sheet4!C490</f>
        <v>  .0571391</v>
      </c>
      <c r="R84" t="str">
        <f>[1]Sheet4!D490</f>
        <v>    .0526728</v>
      </c>
      <c r="S84" t="str">
        <f>[1]Sheet4!E490</f>
        <v>  .0561062</v>
      </c>
      <c r="W84">
        <v>9.9584599999999995E-2</v>
      </c>
      <c r="X84">
        <v>8.0813399999999994E-2</v>
      </c>
      <c r="Y84">
        <v>9.0152999999999997E-2</v>
      </c>
      <c r="Z84">
        <v>8.0343200000000004E-2</v>
      </c>
      <c r="AA84">
        <v>9.1086500000000001E-2</v>
      </c>
      <c r="AB84">
        <v>7.0580299999999999E-2</v>
      </c>
      <c r="AC84">
        <v>8.0431500000000003E-2</v>
      </c>
      <c r="AD84">
        <v>5.7175799999999999E-2</v>
      </c>
      <c r="AE84">
        <v>6.1076600000000002E-2</v>
      </c>
      <c r="AF84">
        <v>5.8413300000000001E-2</v>
      </c>
    </row>
    <row r="85" spans="1:32" x14ac:dyDescent="0.35">
      <c r="H85" s="13">
        <v>1</v>
      </c>
      <c r="I85" s="13" t="s">
        <v>1</v>
      </c>
      <c r="J85" s="13" t="s">
        <v>2</v>
      </c>
      <c r="K85" s="13" t="s">
        <v>64</v>
      </c>
      <c r="L85" s="13">
        <f>W85</f>
        <v>9.2621800000000004E-2</v>
      </c>
      <c r="P85" t="str">
        <f>[1]Sheet4!B491</f>
        <v> .0361182</v>
      </c>
      <c r="Q85" t="str">
        <f>[1]Sheet4!C491</f>
        <v>  .0497275</v>
      </c>
      <c r="R85" t="str">
        <f>[1]Sheet4!D491</f>
        <v>    .0443458</v>
      </c>
      <c r="S85" t="str">
        <f>[1]Sheet4!E491</f>
        <v>  .0462583</v>
      </c>
      <c r="W85">
        <v>9.2621800000000004E-2</v>
      </c>
      <c r="X85">
        <v>8.2260700000000006E-2</v>
      </c>
      <c r="Y85">
        <v>8.6597999999999994E-2</v>
      </c>
      <c r="Z85">
        <v>8.5200300000000007E-2</v>
      </c>
      <c r="AA85">
        <v>9.1623800000000005E-2</v>
      </c>
      <c r="AB85">
        <v>7.7145500000000006E-2</v>
      </c>
      <c r="AC85">
        <v>6.38957E-2</v>
      </c>
      <c r="AD85">
        <v>6.6137100000000004E-2</v>
      </c>
      <c r="AE85">
        <v>6.4588699999999999E-2</v>
      </c>
      <c r="AF85">
        <v>6.2558500000000003E-2</v>
      </c>
    </row>
    <row r="86" spans="1:32" x14ac:dyDescent="0.35">
      <c r="H86" s="13">
        <v>2</v>
      </c>
      <c r="I86" s="13" t="s">
        <v>3</v>
      </c>
      <c r="J86" s="13" t="s">
        <v>0</v>
      </c>
      <c r="K86" s="13" t="s">
        <v>64</v>
      </c>
      <c r="L86" s="13">
        <f>X82</f>
        <v>9.6536999999999998E-2</v>
      </c>
      <c r="P86" t="str">
        <f>[1]Sheet4!B492</f>
        <v> .0547234</v>
      </c>
      <c r="Q86" t="str">
        <f>[1]Sheet4!C492</f>
        <v>   .070859</v>
      </c>
      <c r="R86" t="str">
        <f>[1]Sheet4!D492</f>
        <v>    .0445946</v>
      </c>
      <c r="S86" t="str">
        <f>[1]Sheet4!E492</f>
        <v>  .0478441</v>
      </c>
    </row>
    <row r="87" spans="1:32" x14ac:dyDescent="0.35">
      <c r="H87" s="13">
        <v>2</v>
      </c>
      <c r="I87" s="13" t="s">
        <v>3</v>
      </c>
      <c r="J87" s="13" t="s">
        <v>2</v>
      </c>
      <c r="K87" s="13" t="s">
        <v>64</v>
      </c>
      <c r="L87" s="13">
        <f>X83</f>
        <v>0.1046907</v>
      </c>
      <c r="P87" t="str">
        <f>[1]Sheet4!B493</f>
        <v> .0578993</v>
      </c>
      <c r="Q87" t="str">
        <f>[1]Sheet4!C493</f>
        <v>  .0804706</v>
      </c>
      <c r="R87" t="str">
        <f>[1]Sheet4!D493</f>
        <v>    .0858939</v>
      </c>
      <c r="S87" t="str">
        <f>[1]Sheet4!E493</f>
        <v>  .0863368</v>
      </c>
    </row>
    <row r="88" spans="1:32" x14ac:dyDescent="0.35">
      <c r="H88" s="13">
        <v>2</v>
      </c>
      <c r="I88" s="13" t="s">
        <v>1</v>
      </c>
      <c r="J88" s="13" t="s">
        <v>0</v>
      </c>
      <c r="K88" s="13" t="s">
        <v>64</v>
      </c>
      <c r="L88" s="13">
        <f>X84</f>
        <v>8.0813399999999994E-2</v>
      </c>
      <c r="P88" t="str">
        <f>[1]Sheet4!B494</f>
        <v> .0881543</v>
      </c>
      <c r="Q88" t="str">
        <f>[1]Sheet4!C494</f>
        <v>   .108911</v>
      </c>
      <c r="R88" t="str">
        <f>[1]Sheet4!D494</f>
        <v>    .0893965</v>
      </c>
      <c r="S88" t="str">
        <f>[1]Sheet4!E494</f>
        <v>  .0961253</v>
      </c>
    </row>
    <row r="89" spans="1:32" x14ac:dyDescent="0.35">
      <c r="H89" s="13">
        <v>2</v>
      </c>
      <c r="I89" s="13" t="s">
        <v>1</v>
      </c>
      <c r="J89" s="13" t="s">
        <v>2</v>
      </c>
      <c r="K89" s="13" t="s">
        <v>64</v>
      </c>
      <c r="L89" s="13">
        <f>X85</f>
        <v>8.2260700000000006E-2</v>
      </c>
      <c r="P89" t="str">
        <f>[1]Sheet4!B495</f>
        <v> .1030742</v>
      </c>
      <c r="Q89" t="str">
        <f>[1]Sheet4!C495</f>
        <v>  .0999616</v>
      </c>
      <c r="R89" t="str">
        <f>[1]Sheet4!D495</f>
        <v>    .0948197</v>
      </c>
      <c r="S89" t="str">
        <f>[1]Sheet4!E495</f>
        <v>  .1240013</v>
      </c>
    </row>
    <row r="90" spans="1:32" x14ac:dyDescent="0.35">
      <c r="H90" s="13">
        <v>3</v>
      </c>
      <c r="I90" s="13" t="s">
        <v>3</v>
      </c>
      <c r="J90" s="13" t="s">
        <v>0</v>
      </c>
      <c r="K90" s="13" t="s">
        <v>64</v>
      </c>
      <c r="L90" s="13">
        <f>Y82</f>
        <v>9.5416399999999998E-2</v>
      </c>
      <c r="P90" t="str">
        <f>[1]Sheet4!B496</f>
        <v> .1188883</v>
      </c>
      <c r="Q90" t="str">
        <f>[1]Sheet4!C496</f>
        <v>  .1117561</v>
      </c>
      <c r="R90" t="str">
        <f>[1]Sheet4!D496</f>
        <v>    .0980516</v>
      </c>
      <c r="S90" t="str">
        <f>[1]Sheet4!E496</f>
        <v>  .1046622</v>
      </c>
    </row>
    <row r="91" spans="1:32" x14ac:dyDescent="0.35">
      <c r="H91" s="13">
        <v>3</v>
      </c>
      <c r="I91" s="13" t="s">
        <v>3</v>
      </c>
      <c r="J91" s="13" t="s">
        <v>2</v>
      </c>
      <c r="K91" s="13" t="s">
        <v>64</v>
      </c>
      <c r="L91" s="13">
        <f>Y83</f>
        <v>9.4107499999999997E-2</v>
      </c>
      <c r="P91" t="str">
        <f>[1]Sheet4!B497</f>
        <v> .1339982</v>
      </c>
      <c r="Q91" t="str">
        <f>[1]Sheet4!C497</f>
        <v>  .1488731</v>
      </c>
      <c r="R91" t="str">
        <f>[1]Sheet4!D497</f>
        <v>    .1171095</v>
      </c>
      <c r="S91" t="str">
        <f>[1]Sheet4!E497</f>
        <v>  .1575636</v>
      </c>
    </row>
    <row r="92" spans="1:32" x14ac:dyDescent="0.35">
      <c r="H92" s="13">
        <v>3</v>
      </c>
      <c r="I92" s="13" t="s">
        <v>1</v>
      </c>
      <c r="J92" s="13" t="s">
        <v>0</v>
      </c>
      <c r="K92" s="13" t="s">
        <v>64</v>
      </c>
      <c r="L92" s="13">
        <f>Y84</f>
        <v>9.0152999999999997E-2</v>
      </c>
    </row>
    <row r="93" spans="1:32" x14ac:dyDescent="0.35">
      <c r="H93" s="13">
        <v>3</v>
      </c>
      <c r="I93" s="13" t="s">
        <v>1</v>
      </c>
      <c r="J93" s="13" t="s">
        <v>2</v>
      </c>
      <c r="K93" s="13" t="s">
        <v>64</v>
      </c>
      <c r="L93" s="13">
        <f>Y85</f>
        <v>8.6597999999999994E-2</v>
      </c>
    </row>
    <row r="94" spans="1:32" x14ac:dyDescent="0.35">
      <c r="H94" s="13">
        <v>4</v>
      </c>
      <c r="I94" s="13" t="s">
        <v>3</v>
      </c>
      <c r="J94" s="13" t="s">
        <v>0</v>
      </c>
      <c r="K94" s="13" t="s">
        <v>64</v>
      </c>
      <c r="L94" s="13">
        <f>Z82</f>
        <v>9.4818100000000002E-2</v>
      </c>
    </row>
    <row r="95" spans="1:32" x14ac:dyDescent="0.35">
      <c r="H95" s="13">
        <v>4</v>
      </c>
      <c r="I95" s="13" t="s">
        <v>3</v>
      </c>
      <c r="J95" s="13" t="s">
        <v>2</v>
      </c>
      <c r="K95" s="13" t="s">
        <v>64</v>
      </c>
      <c r="L95" s="13">
        <f>Z83</f>
        <v>0.110681</v>
      </c>
    </row>
    <row r="96" spans="1:32" x14ac:dyDescent="0.35">
      <c r="H96" s="13">
        <v>4</v>
      </c>
      <c r="I96" s="13" t="s">
        <v>1</v>
      </c>
      <c r="J96" s="13" t="s">
        <v>0</v>
      </c>
      <c r="K96" s="13" t="s">
        <v>64</v>
      </c>
      <c r="L96" s="13">
        <f>Z84</f>
        <v>8.0343200000000004E-2</v>
      </c>
    </row>
    <row r="97" spans="8:12" x14ac:dyDescent="0.35">
      <c r="H97" s="13">
        <v>4</v>
      </c>
      <c r="I97" s="13" t="s">
        <v>1</v>
      </c>
      <c r="J97" s="13" t="s">
        <v>2</v>
      </c>
      <c r="K97" s="13" t="s">
        <v>64</v>
      </c>
      <c r="L97" s="13">
        <f>Z85</f>
        <v>8.5200300000000007E-2</v>
      </c>
    </row>
    <row r="98" spans="8:12" x14ac:dyDescent="0.35">
      <c r="H98" s="13">
        <v>5</v>
      </c>
      <c r="I98" s="13" t="s">
        <v>3</v>
      </c>
      <c r="J98" s="13" t="s">
        <v>0</v>
      </c>
      <c r="K98" s="13" t="s">
        <v>64</v>
      </c>
      <c r="L98" s="13">
        <f>AA82</f>
        <v>8.9997300000000002E-2</v>
      </c>
    </row>
    <row r="99" spans="8:12" x14ac:dyDescent="0.35">
      <c r="H99" s="13">
        <v>5</v>
      </c>
      <c r="I99" s="13" t="s">
        <v>3</v>
      </c>
      <c r="J99" s="13" t="s">
        <v>2</v>
      </c>
      <c r="K99" s="13" t="s">
        <v>64</v>
      </c>
      <c r="L99" s="13">
        <f>AA83</f>
        <v>8.8466600000000006E-2</v>
      </c>
    </row>
    <row r="100" spans="8:12" x14ac:dyDescent="0.35">
      <c r="H100" s="13">
        <v>5</v>
      </c>
      <c r="I100" s="13" t="s">
        <v>1</v>
      </c>
      <c r="J100" s="13" t="s">
        <v>0</v>
      </c>
      <c r="K100" s="13" t="s">
        <v>64</v>
      </c>
      <c r="L100" s="13">
        <f>AA84</f>
        <v>9.1086500000000001E-2</v>
      </c>
    </row>
    <row r="101" spans="8:12" x14ac:dyDescent="0.35">
      <c r="H101" s="13">
        <v>5</v>
      </c>
      <c r="I101" s="13" t="s">
        <v>1</v>
      </c>
      <c r="J101" s="13" t="s">
        <v>2</v>
      </c>
      <c r="K101" s="13" t="s">
        <v>64</v>
      </c>
      <c r="L101" s="13">
        <f>AA85</f>
        <v>9.1623800000000005E-2</v>
      </c>
    </row>
    <row r="102" spans="8:12" x14ac:dyDescent="0.35">
      <c r="H102" s="13">
        <v>6</v>
      </c>
      <c r="I102" s="13" t="s">
        <v>3</v>
      </c>
      <c r="J102" s="13" t="s">
        <v>0</v>
      </c>
      <c r="K102" s="13" t="s">
        <v>64</v>
      </c>
      <c r="L102" s="13">
        <f>AB82</f>
        <v>8.9980500000000005E-2</v>
      </c>
    </row>
    <row r="103" spans="8:12" x14ac:dyDescent="0.35">
      <c r="H103" s="13">
        <v>6</v>
      </c>
      <c r="I103" s="13" t="s">
        <v>3</v>
      </c>
      <c r="J103" s="13" t="s">
        <v>2</v>
      </c>
      <c r="K103" s="13" t="s">
        <v>64</v>
      </c>
      <c r="L103" s="13">
        <f>AB83</f>
        <v>8.8461700000000004E-2</v>
      </c>
    </row>
    <row r="104" spans="8:12" x14ac:dyDescent="0.35">
      <c r="H104" s="13">
        <v>6</v>
      </c>
      <c r="I104" s="13" t="s">
        <v>1</v>
      </c>
      <c r="J104" s="13" t="s">
        <v>0</v>
      </c>
      <c r="K104" s="13" t="s">
        <v>64</v>
      </c>
      <c r="L104" s="13">
        <f>AB84</f>
        <v>7.0580299999999999E-2</v>
      </c>
    </row>
    <row r="105" spans="8:12" x14ac:dyDescent="0.35">
      <c r="H105" s="13">
        <v>6</v>
      </c>
      <c r="I105" s="13" t="s">
        <v>1</v>
      </c>
      <c r="J105" s="13" t="s">
        <v>2</v>
      </c>
      <c r="K105" s="13" t="s">
        <v>64</v>
      </c>
      <c r="L105" s="13">
        <f>AB85</f>
        <v>7.7145500000000006E-2</v>
      </c>
    </row>
    <row r="106" spans="8:12" x14ac:dyDescent="0.35">
      <c r="H106" s="13">
        <v>7</v>
      </c>
      <c r="I106" s="13" t="s">
        <v>3</v>
      </c>
      <c r="J106" s="13" t="s">
        <v>0</v>
      </c>
      <c r="K106" s="13" t="s">
        <v>64</v>
      </c>
      <c r="L106" s="13">
        <f>AC82</f>
        <v>9.6178100000000002E-2</v>
      </c>
    </row>
    <row r="107" spans="8:12" x14ac:dyDescent="0.35">
      <c r="H107" s="13">
        <v>7</v>
      </c>
      <c r="I107" s="13" t="s">
        <v>3</v>
      </c>
      <c r="J107" s="13" t="s">
        <v>2</v>
      </c>
      <c r="K107" s="13" t="s">
        <v>64</v>
      </c>
      <c r="L107" s="13">
        <f>AC83</f>
        <v>9.0718800000000002E-2</v>
      </c>
    </row>
    <row r="108" spans="8:12" x14ac:dyDescent="0.35">
      <c r="H108" s="13">
        <v>7</v>
      </c>
      <c r="I108" s="13" t="s">
        <v>1</v>
      </c>
      <c r="J108" s="13" t="s">
        <v>0</v>
      </c>
      <c r="K108" s="13" t="s">
        <v>64</v>
      </c>
      <c r="L108" s="13">
        <f>AC84</f>
        <v>8.0431500000000003E-2</v>
      </c>
    </row>
    <row r="109" spans="8:12" x14ac:dyDescent="0.35">
      <c r="H109" s="13">
        <v>7</v>
      </c>
      <c r="I109" s="13" t="s">
        <v>1</v>
      </c>
      <c r="J109" s="13" t="s">
        <v>2</v>
      </c>
      <c r="K109" s="13" t="s">
        <v>64</v>
      </c>
      <c r="L109" s="13">
        <f>AC85</f>
        <v>6.38957E-2</v>
      </c>
    </row>
    <row r="110" spans="8:12" x14ac:dyDescent="0.35">
      <c r="H110" s="13">
        <v>8</v>
      </c>
      <c r="I110" s="13" t="s">
        <v>3</v>
      </c>
      <c r="J110" s="13" t="s">
        <v>0</v>
      </c>
      <c r="K110" s="13" t="s">
        <v>64</v>
      </c>
      <c r="L110" s="13">
        <f>AD82</f>
        <v>8.5726800000000006E-2</v>
      </c>
    </row>
    <row r="111" spans="8:12" x14ac:dyDescent="0.35">
      <c r="H111" s="13">
        <v>8</v>
      </c>
      <c r="I111" s="13" t="s">
        <v>3</v>
      </c>
      <c r="J111" s="13" t="s">
        <v>2</v>
      </c>
      <c r="K111" s="13" t="s">
        <v>64</v>
      </c>
      <c r="L111" s="13">
        <f>AD83</f>
        <v>9.5719600000000002E-2</v>
      </c>
    </row>
    <row r="112" spans="8:12" x14ac:dyDescent="0.35">
      <c r="H112" s="13">
        <v>8</v>
      </c>
      <c r="I112" s="13" t="s">
        <v>1</v>
      </c>
      <c r="J112" s="13" t="s">
        <v>0</v>
      </c>
      <c r="K112" s="13" t="s">
        <v>64</v>
      </c>
      <c r="L112" s="13">
        <f>AD84</f>
        <v>5.7175799999999999E-2</v>
      </c>
    </row>
    <row r="113" spans="8:32" x14ac:dyDescent="0.35">
      <c r="H113" s="13">
        <v>8</v>
      </c>
      <c r="I113" s="13" t="s">
        <v>1</v>
      </c>
      <c r="J113" s="13" t="s">
        <v>2</v>
      </c>
      <c r="K113" s="13" t="s">
        <v>64</v>
      </c>
      <c r="L113" s="13">
        <f>AD85</f>
        <v>6.6137100000000004E-2</v>
      </c>
    </row>
    <row r="114" spans="8:32" x14ac:dyDescent="0.35">
      <c r="H114" s="13">
        <v>9</v>
      </c>
      <c r="I114" s="13" t="s">
        <v>3</v>
      </c>
      <c r="J114" s="13" t="s">
        <v>0</v>
      </c>
      <c r="K114" s="13" t="s">
        <v>64</v>
      </c>
      <c r="L114" s="13">
        <f>AE82</f>
        <v>8.1597299999999998E-2</v>
      </c>
    </row>
    <row r="115" spans="8:32" x14ac:dyDescent="0.35">
      <c r="H115" s="13">
        <v>9</v>
      </c>
      <c r="I115" s="13" t="s">
        <v>3</v>
      </c>
      <c r="J115" s="13" t="s">
        <v>2</v>
      </c>
      <c r="K115" s="13" t="s">
        <v>64</v>
      </c>
      <c r="L115" s="13">
        <f>AE83</f>
        <v>8.8320099999999999E-2</v>
      </c>
    </row>
    <row r="116" spans="8:32" x14ac:dyDescent="0.35">
      <c r="H116" s="13">
        <v>9</v>
      </c>
      <c r="I116" s="13" t="s">
        <v>1</v>
      </c>
      <c r="J116" s="13" t="s">
        <v>0</v>
      </c>
      <c r="K116" s="13" t="s">
        <v>64</v>
      </c>
      <c r="L116" s="13">
        <f>AE84</f>
        <v>6.1076600000000002E-2</v>
      </c>
    </row>
    <row r="117" spans="8:32" x14ac:dyDescent="0.35">
      <c r="H117" s="13">
        <v>9</v>
      </c>
      <c r="I117" s="13" t="s">
        <v>1</v>
      </c>
      <c r="J117" s="13" t="s">
        <v>2</v>
      </c>
      <c r="K117" s="13" t="s">
        <v>64</v>
      </c>
      <c r="L117" s="13">
        <f>AE85</f>
        <v>6.4588699999999999E-2</v>
      </c>
    </row>
    <row r="118" spans="8:32" x14ac:dyDescent="0.35">
      <c r="H118" s="13">
        <v>10</v>
      </c>
      <c r="I118" s="13" t="s">
        <v>3</v>
      </c>
      <c r="J118" s="13" t="s">
        <v>0</v>
      </c>
      <c r="K118" s="13" t="s">
        <v>64</v>
      </c>
      <c r="L118" s="13">
        <f>AF82</f>
        <v>7.6088000000000003E-2</v>
      </c>
    </row>
    <row r="119" spans="8:32" x14ac:dyDescent="0.35">
      <c r="H119" s="13">
        <v>10</v>
      </c>
      <c r="I119" s="13" t="s">
        <v>3</v>
      </c>
      <c r="J119" s="13" t="s">
        <v>2</v>
      </c>
      <c r="K119" s="13" t="s">
        <v>64</v>
      </c>
      <c r="L119" s="13">
        <f t="shared" ref="L119:L121" si="2">AF83</f>
        <v>7.9269800000000001E-2</v>
      </c>
    </row>
    <row r="120" spans="8:32" x14ac:dyDescent="0.35">
      <c r="H120" s="13">
        <v>10</v>
      </c>
      <c r="I120" s="13" t="s">
        <v>1</v>
      </c>
      <c r="J120" s="13" t="s">
        <v>0</v>
      </c>
      <c r="K120" s="13" t="s">
        <v>64</v>
      </c>
      <c r="L120" s="13">
        <f t="shared" si="2"/>
        <v>5.8413300000000001E-2</v>
      </c>
    </row>
    <row r="121" spans="8:32" x14ac:dyDescent="0.35">
      <c r="H121" s="13">
        <v>10</v>
      </c>
      <c r="I121" s="13" t="s">
        <v>1</v>
      </c>
      <c r="J121" s="13" t="s">
        <v>2</v>
      </c>
      <c r="K121" s="13" t="s">
        <v>64</v>
      </c>
      <c r="L121" s="13">
        <f t="shared" si="2"/>
        <v>6.2558500000000003E-2</v>
      </c>
    </row>
    <row r="122" spans="8:32" x14ac:dyDescent="0.35">
      <c r="H122" s="13">
        <v>1</v>
      </c>
      <c r="I122" s="13" t="s">
        <v>3</v>
      </c>
      <c r="J122" s="13" t="s">
        <v>0</v>
      </c>
      <c r="K122" s="13" t="s">
        <v>63</v>
      </c>
      <c r="L122" s="13">
        <f>W122</f>
        <v>9.69917E-2</v>
      </c>
      <c r="P122" t="str">
        <f>[1]Sheet4!B507</f>
        <v>---------</v>
      </c>
      <c r="Q122" t="str">
        <f>[1]Sheet4!C507</f>
        <v>----------</v>
      </c>
      <c r="R122" t="str">
        <f>[1]Sheet4!D507</f>
        <v>------------</v>
      </c>
      <c r="S122" t="str">
        <f>[1]Sheet4!E507</f>
        <v>----------</v>
      </c>
      <c r="W122">
        <v>9.69917E-2</v>
      </c>
      <c r="X122">
        <v>9.5010600000000001E-2</v>
      </c>
      <c r="Y122">
        <v>0.1105004</v>
      </c>
      <c r="Z122">
        <v>0.10425139999999999</v>
      </c>
      <c r="AA122">
        <v>9.8424800000000007E-2</v>
      </c>
      <c r="AB122">
        <v>9.3845999999999999E-2</v>
      </c>
      <c r="AC122">
        <v>9.3311199999999997E-2</v>
      </c>
      <c r="AD122">
        <v>8.4878700000000001E-2</v>
      </c>
      <c r="AE122">
        <v>8.6321899999999993E-2</v>
      </c>
      <c r="AF122">
        <v>7.4887300000000004E-2</v>
      </c>
    </row>
    <row r="123" spans="8:32" x14ac:dyDescent="0.35">
      <c r="H123" s="13">
        <v>1</v>
      </c>
      <c r="I123" s="13" t="s">
        <v>3</v>
      </c>
      <c r="J123" s="13" t="s">
        <v>2</v>
      </c>
      <c r="K123" s="13" t="s">
        <v>63</v>
      </c>
      <c r="L123" s="13">
        <f>W123</f>
        <v>0.1020899</v>
      </c>
      <c r="P123" t="str">
        <f>[1]Sheet4!B508</f>
        <v> .0975366</v>
      </c>
      <c r="Q123" t="str">
        <f>[1]Sheet4!C508</f>
        <v>   .103494</v>
      </c>
      <c r="R123" t="str">
        <f>[1]Sheet4!D508</f>
        <v>    .0995846</v>
      </c>
      <c r="S123" t="str">
        <f>[1]Sheet4!E508</f>
        <v>  .0926218</v>
      </c>
      <c r="W123">
        <v>0.1020899</v>
      </c>
      <c r="X123">
        <v>9.8959400000000003E-2</v>
      </c>
      <c r="Y123">
        <v>0.10011</v>
      </c>
      <c r="Z123">
        <v>0.1158565</v>
      </c>
      <c r="AA123">
        <v>9.4672999999999993E-2</v>
      </c>
      <c r="AB123">
        <v>8.4052299999999996E-2</v>
      </c>
      <c r="AC123">
        <v>8.34395E-2</v>
      </c>
      <c r="AD123">
        <v>9.2103599999999994E-2</v>
      </c>
      <c r="AE123">
        <v>8.1918500000000005E-2</v>
      </c>
      <c r="AF123">
        <v>7.9690200000000003E-2</v>
      </c>
    </row>
    <row r="124" spans="8:32" x14ac:dyDescent="0.35">
      <c r="H124" s="13">
        <v>1</v>
      </c>
      <c r="I124" s="13" t="s">
        <v>1</v>
      </c>
      <c r="J124" s="13" t="s">
        <v>0</v>
      </c>
      <c r="K124" s="13" t="s">
        <v>63</v>
      </c>
      <c r="L124" s="13">
        <f>W124</f>
        <v>9.9015000000000006E-2</v>
      </c>
      <c r="P124" t="str">
        <f>[1]Sheet4!B509</f>
        <v>  .096537</v>
      </c>
      <c r="Q124" t="str">
        <f>[1]Sheet4!C509</f>
        <v>  .1046907</v>
      </c>
      <c r="R124" t="str">
        <f>[1]Sheet4!D509</f>
        <v>    .0808134</v>
      </c>
      <c r="S124" t="str">
        <f>[1]Sheet4!E509</f>
        <v>  .0822607</v>
      </c>
      <c r="W124">
        <v>9.9015000000000006E-2</v>
      </c>
      <c r="X124">
        <v>8.3226599999999998E-2</v>
      </c>
      <c r="Y124">
        <v>9.6515799999999999E-2</v>
      </c>
      <c r="Z124">
        <v>8.7850600000000001E-2</v>
      </c>
      <c r="AA124">
        <v>8.9197899999999997E-2</v>
      </c>
      <c r="AB124">
        <v>7.0159299999999994E-2</v>
      </c>
      <c r="AC124">
        <v>8.5742200000000005E-2</v>
      </c>
      <c r="AD124">
        <v>5.6748100000000003E-2</v>
      </c>
      <c r="AE124">
        <v>5.5985500000000001E-2</v>
      </c>
      <c r="AF124">
        <v>5.7326500000000002E-2</v>
      </c>
    </row>
    <row r="125" spans="8:32" x14ac:dyDescent="0.35">
      <c r="H125" s="13">
        <v>1</v>
      </c>
      <c r="I125" s="13" t="s">
        <v>1</v>
      </c>
      <c r="J125" s="13" t="s">
        <v>2</v>
      </c>
      <c r="K125" s="13" t="s">
        <v>63</v>
      </c>
      <c r="L125" s="13">
        <f>W125</f>
        <v>9.1907299999999997E-2</v>
      </c>
      <c r="P125" t="str">
        <f>[1]Sheet4!B510</f>
        <v> .0954164</v>
      </c>
      <c r="Q125" t="str">
        <f>[1]Sheet4!C510</f>
        <v>  .0941075</v>
      </c>
      <c r="R125" t="str">
        <f>[1]Sheet4!D510</f>
        <v>     .090153</v>
      </c>
      <c r="S125" t="str">
        <f>[1]Sheet4!E510</f>
        <v>   .086598</v>
      </c>
      <c r="W125">
        <v>9.1907299999999997E-2</v>
      </c>
      <c r="X125">
        <v>8.1221600000000005E-2</v>
      </c>
      <c r="Y125">
        <v>9.0999899999999995E-2</v>
      </c>
      <c r="Z125">
        <v>9.5018400000000003E-2</v>
      </c>
      <c r="AA125">
        <v>9.3829700000000002E-2</v>
      </c>
      <c r="AB125">
        <v>7.6091199999999998E-2</v>
      </c>
      <c r="AC125">
        <v>5.8043900000000002E-2</v>
      </c>
      <c r="AD125">
        <v>5.8549299999999999E-2</v>
      </c>
      <c r="AE125">
        <v>6.10488E-2</v>
      </c>
      <c r="AF125">
        <v>5.0193399999999999E-2</v>
      </c>
    </row>
    <row r="126" spans="8:32" x14ac:dyDescent="0.35">
      <c r="H126" s="13">
        <v>2</v>
      </c>
      <c r="I126" s="13" t="s">
        <v>3</v>
      </c>
      <c r="J126" s="13" t="s">
        <v>0</v>
      </c>
      <c r="K126" s="13" t="s">
        <v>63</v>
      </c>
      <c r="L126" s="13">
        <f>X122</f>
        <v>9.5010600000000001E-2</v>
      </c>
      <c r="P126" t="str">
        <f>[1]Sheet4!B511</f>
        <v> .0948181</v>
      </c>
      <c r="Q126" t="str">
        <f>[1]Sheet4!C511</f>
        <v>   .110681</v>
      </c>
      <c r="R126" t="str">
        <f>[1]Sheet4!D511</f>
        <v>    .0803432</v>
      </c>
      <c r="S126" t="str">
        <f>[1]Sheet4!E511</f>
        <v>  .0852003</v>
      </c>
    </row>
    <row r="127" spans="8:32" x14ac:dyDescent="0.35">
      <c r="H127" s="13">
        <v>2</v>
      </c>
      <c r="I127" s="13" t="s">
        <v>3</v>
      </c>
      <c r="J127" s="13" t="s">
        <v>2</v>
      </c>
      <c r="K127" s="13" t="s">
        <v>63</v>
      </c>
      <c r="L127" s="13">
        <f>X123</f>
        <v>9.8959400000000003E-2</v>
      </c>
      <c r="P127" t="str">
        <f>[1]Sheet4!B512</f>
        <v> .0899973</v>
      </c>
      <c r="Q127" t="str">
        <f>[1]Sheet4!C512</f>
        <v>  .0884666</v>
      </c>
      <c r="R127" t="str">
        <f>[1]Sheet4!D512</f>
        <v>    .0910865</v>
      </c>
      <c r="S127" t="str">
        <f>[1]Sheet4!E512</f>
        <v>  .0916238</v>
      </c>
    </row>
    <row r="128" spans="8:32" x14ac:dyDescent="0.35">
      <c r="H128" s="13">
        <v>2</v>
      </c>
      <c r="I128" s="13" t="s">
        <v>1</v>
      </c>
      <c r="J128" s="13" t="s">
        <v>0</v>
      </c>
      <c r="K128" s="13" t="s">
        <v>63</v>
      </c>
      <c r="L128" s="13">
        <f>X124</f>
        <v>8.3226599999999998E-2</v>
      </c>
      <c r="P128" t="str">
        <f>[1]Sheet4!B513</f>
        <v> .0899805</v>
      </c>
      <c r="Q128" t="str">
        <f>[1]Sheet4!C513</f>
        <v>  .0884617</v>
      </c>
      <c r="R128" t="str">
        <f>[1]Sheet4!D513</f>
        <v>    .0705803</v>
      </c>
      <c r="S128" t="str">
        <f>[1]Sheet4!E513</f>
        <v>  .0771455</v>
      </c>
    </row>
    <row r="129" spans="8:19" x14ac:dyDescent="0.35">
      <c r="H129" s="13">
        <v>2</v>
      </c>
      <c r="I129" s="13" t="s">
        <v>1</v>
      </c>
      <c r="J129" s="13" t="s">
        <v>2</v>
      </c>
      <c r="K129" s="13" t="s">
        <v>63</v>
      </c>
      <c r="L129" s="13">
        <f>X125</f>
        <v>8.1221600000000005E-2</v>
      </c>
      <c r="P129" t="str">
        <f>[1]Sheet4!B514</f>
        <v> .0961781</v>
      </c>
      <c r="Q129" t="str">
        <f>[1]Sheet4!C514</f>
        <v>  .0907188</v>
      </c>
      <c r="R129" t="str">
        <f>[1]Sheet4!D514</f>
        <v>    .0804315</v>
      </c>
      <c r="S129" t="str">
        <f>[1]Sheet4!E514</f>
        <v>  .0638957</v>
      </c>
    </row>
    <row r="130" spans="8:19" x14ac:dyDescent="0.35">
      <c r="H130" s="13">
        <v>3</v>
      </c>
      <c r="I130" s="13" t="s">
        <v>3</v>
      </c>
      <c r="J130" s="13" t="s">
        <v>0</v>
      </c>
      <c r="K130" s="13" t="s">
        <v>63</v>
      </c>
      <c r="L130" s="13">
        <f>Y122</f>
        <v>0.1105004</v>
      </c>
      <c r="P130" t="str">
        <f>[1]Sheet4!B515</f>
        <v> .0857268</v>
      </c>
      <c r="Q130" t="str">
        <f>[1]Sheet4!C515</f>
        <v>  .0957196</v>
      </c>
      <c r="R130" t="str">
        <f>[1]Sheet4!D515</f>
        <v>    .0571758</v>
      </c>
      <c r="S130" t="str">
        <f>[1]Sheet4!E515</f>
        <v>  .0661371</v>
      </c>
    </row>
    <row r="131" spans="8:19" x14ac:dyDescent="0.35">
      <c r="H131" s="13">
        <v>3</v>
      </c>
      <c r="I131" s="13" t="s">
        <v>3</v>
      </c>
      <c r="J131" s="13" t="s">
        <v>2</v>
      </c>
      <c r="K131" s="13" t="s">
        <v>63</v>
      </c>
      <c r="L131" s="13">
        <f>Y123</f>
        <v>0.10011</v>
      </c>
      <c r="P131" t="str">
        <f>[1]Sheet4!B516</f>
        <v> .0815973</v>
      </c>
      <c r="Q131" t="str">
        <f>[1]Sheet4!C516</f>
        <v>  .0883201</v>
      </c>
      <c r="R131" t="str">
        <f>[1]Sheet4!D516</f>
        <v>    .0610766</v>
      </c>
      <c r="S131" t="str">
        <f>[1]Sheet4!E516</f>
        <v>  .0645887</v>
      </c>
    </row>
    <row r="132" spans="8:19" x14ac:dyDescent="0.35">
      <c r="H132" s="13">
        <v>3</v>
      </c>
      <c r="I132" s="13" t="s">
        <v>1</v>
      </c>
      <c r="J132" s="13" t="s">
        <v>0</v>
      </c>
      <c r="K132" s="13" t="s">
        <v>63</v>
      </c>
      <c r="L132" s="13">
        <f>Y124</f>
        <v>9.6515799999999999E-2</v>
      </c>
    </row>
    <row r="133" spans="8:19" x14ac:dyDescent="0.35">
      <c r="H133" s="13">
        <v>3</v>
      </c>
      <c r="I133" s="13" t="s">
        <v>1</v>
      </c>
      <c r="J133" s="13" t="s">
        <v>2</v>
      </c>
      <c r="K133" s="13" t="s">
        <v>63</v>
      </c>
      <c r="L133" s="13">
        <f>Y125</f>
        <v>9.0999899999999995E-2</v>
      </c>
    </row>
    <row r="134" spans="8:19" x14ac:dyDescent="0.35">
      <c r="H134" s="13">
        <v>4</v>
      </c>
      <c r="I134" s="13" t="s">
        <v>3</v>
      </c>
      <c r="J134" s="13" t="s">
        <v>0</v>
      </c>
      <c r="K134" s="13" t="s">
        <v>63</v>
      </c>
      <c r="L134" s="13">
        <f>Z122</f>
        <v>0.10425139999999999</v>
      </c>
    </row>
    <row r="135" spans="8:19" x14ac:dyDescent="0.35">
      <c r="H135" s="13">
        <v>4</v>
      </c>
      <c r="I135" s="13" t="s">
        <v>3</v>
      </c>
      <c r="J135" s="13" t="s">
        <v>2</v>
      </c>
      <c r="K135" s="13" t="s">
        <v>63</v>
      </c>
      <c r="L135" s="13">
        <f>Z123</f>
        <v>0.1158565</v>
      </c>
    </row>
    <row r="136" spans="8:19" x14ac:dyDescent="0.35">
      <c r="H136" s="13">
        <v>4</v>
      </c>
      <c r="I136" s="13" t="s">
        <v>1</v>
      </c>
      <c r="J136" s="13" t="s">
        <v>0</v>
      </c>
      <c r="K136" s="13" t="s">
        <v>63</v>
      </c>
      <c r="L136" s="13">
        <f>Z124</f>
        <v>8.7850600000000001E-2</v>
      </c>
    </row>
    <row r="137" spans="8:19" x14ac:dyDescent="0.35">
      <c r="H137" s="13">
        <v>4</v>
      </c>
      <c r="I137" s="13" t="s">
        <v>1</v>
      </c>
      <c r="J137" s="13" t="s">
        <v>2</v>
      </c>
      <c r="K137" s="13" t="s">
        <v>63</v>
      </c>
      <c r="L137" s="13">
        <f>Z125</f>
        <v>9.5018400000000003E-2</v>
      </c>
    </row>
    <row r="138" spans="8:19" x14ac:dyDescent="0.35">
      <c r="H138" s="13">
        <v>5</v>
      </c>
      <c r="I138" s="13" t="s">
        <v>3</v>
      </c>
      <c r="J138" s="13" t="s">
        <v>0</v>
      </c>
      <c r="K138" s="13" t="s">
        <v>63</v>
      </c>
      <c r="L138" s="13">
        <f>AA122</f>
        <v>9.8424800000000007E-2</v>
      </c>
    </row>
    <row r="139" spans="8:19" x14ac:dyDescent="0.35">
      <c r="H139" s="13">
        <v>5</v>
      </c>
      <c r="I139" s="13" t="s">
        <v>3</v>
      </c>
      <c r="J139" s="13" t="s">
        <v>2</v>
      </c>
      <c r="K139" s="13" t="s">
        <v>63</v>
      </c>
      <c r="L139" s="13">
        <f>AA123</f>
        <v>9.4672999999999993E-2</v>
      </c>
    </row>
    <row r="140" spans="8:19" x14ac:dyDescent="0.35">
      <c r="H140" s="13">
        <v>5</v>
      </c>
      <c r="I140" s="13" t="s">
        <v>1</v>
      </c>
      <c r="J140" s="13" t="s">
        <v>0</v>
      </c>
      <c r="K140" s="13" t="s">
        <v>63</v>
      </c>
      <c r="L140" s="13">
        <f>AA124</f>
        <v>8.9197899999999997E-2</v>
      </c>
    </row>
    <row r="141" spans="8:19" x14ac:dyDescent="0.35">
      <c r="H141" s="13">
        <v>5</v>
      </c>
      <c r="I141" s="13" t="s">
        <v>1</v>
      </c>
      <c r="J141" s="13" t="s">
        <v>2</v>
      </c>
      <c r="K141" s="13" t="s">
        <v>63</v>
      </c>
      <c r="L141" s="13">
        <f>AA125</f>
        <v>9.3829700000000002E-2</v>
      </c>
    </row>
    <row r="142" spans="8:19" x14ac:dyDescent="0.35">
      <c r="H142" s="13">
        <v>6</v>
      </c>
      <c r="I142" s="13" t="s">
        <v>3</v>
      </c>
      <c r="J142" s="13" t="s">
        <v>0</v>
      </c>
      <c r="K142" s="13" t="s">
        <v>63</v>
      </c>
      <c r="L142" s="13">
        <f>AB122</f>
        <v>9.3845999999999999E-2</v>
      </c>
    </row>
    <row r="143" spans="8:19" x14ac:dyDescent="0.35">
      <c r="H143" s="13">
        <v>6</v>
      </c>
      <c r="I143" s="13" t="s">
        <v>3</v>
      </c>
      <c r="J143" s="13" t="s">
        <v>2</v>
      </c>
      <c r="K143" s="13" t="s">
        <v>63</v>
      </c>
      <c r="L143" s="13">
        <f>AB123</f>
        <v>8.4052299999999996E-2</v>
      </c>
    </row>
    <row r="144" spans="8:19" x14ac:dyDescent="0.35">
      <c r="H144" s="13">
        <v>6</v>
      </c>
      <c r="I144" s="13" t="s">
        <v>1</v>
      </c>
      <c r="J144" s="13" t="s">
        <v>0</v>
      </c>
      <c r="K144" s="13" t="s">
        <v>63</v>
      </c>
      <c r="L144" s="13">
        <f>AB124</f>
        <v>7.0159299999999994E-2</v>
      </c>
    </row>
    <row r="145" spans="8:12" x14ac:dyDescent="0.35">
      <c r="H145" s="13">
        <v>6</v>
      </c>
      <c r="I145" s="13" t="s">
        <v>1</v>
      </c>
      <c r="J145" s="13" t="s">
        <v>2</v>
      </c>
      <c r="K145" s="13" t="s">
        <v>63</v>
      </c>
      <c r="L145" s="13">
        <f>AB125</f>
        <v>7.6091199999999998E-2</v>
      </c>
    </row>
    <row r="146" spans="8:12" x14ac:dyDescent="0.35">
      <c r="H146" s="13">
        <v>7</v>
      </c>
      <c r="I146" s="13" t="s">
        <v>3</v>
      </c>
      <c r="J146" s="13" t="s">
        <v>0</v>
      </c>
      <c r="K146" s="13" t="s">
        <v>63</v>
      </c>
      <c r="L146" s="13">
        <f>AC122</f>
        <v>9.3311199999999997E-2</v>
      </c>
    </row>
    <row r="147" spans="8:12" x14ac:dyDescent="0.35">
      <c r="H147" s="13">
        <v>7</v>
      </c>
      <c r="I147" s="13" t="s">
        <v>3</v>
      </c>
      <c r="J147" s="13" t="s">
        <v>2</v>
      </c>
      <c r="K147" s="13" t="s">
        <v>63</v>
      </c>
      <c r="L147" s="13">
        <f>AC123</f>
        <v>8.34395E-2</v>
      </c>
    </row>
    <row r="148" spans="8:12" x14ac:dyDescent="0.35">
      <c r="H148" s="13">
        <v>7</v>
      </c>
      <c r="I148" s="13" t="s">
        <v>1</v>
      </c>
      <c r="J148" s="13" t="s">
        <v>0</v>
      </c>
      <c r="K148" s="13" t="s">
        <v>63</v>
      </c>
      <c r="L148" s="13">
        <f>AC124</f>
        <v>8.5742200000000005E-2</v>
      </c>
    </row>
    <row r="149" spans="8:12" x14ac:dyDescent="0.35">
      <c r="H149" s="13">
        <v>7</v>
      </c>
      <c r="I149" s="13" t="s">
        <v>1</v>
      </c>
      <c r="J149" s="13" t="s">
        <v>2</v>
      </c>
      <c r="K149" s="13" t="s">
        <v>63</v>
      </c>
      <c r="L149" s="13">
        <f>AC125</f>
        <v>5.8043900000000002E-2</v>
      </c>
    </row>
    <row r="150" spans="8:12" x14ac:dyDescent="0.35">
      <c r="H150" s="13">
        <v>8</v>
      </c>
      <c r="I150" s="13" t="s">
        <v>3</v>
      </c>
      <c r="J150" s="13" t="s">
        <v>0</v>
      </c>
      <c r="K150" s="13" t="s">
        <v>63</v>
      </c>
      <c r="L150" s="13">
        <f>AD122</f>
        <v>8.4878700000000001E-2</v>
      </c>
    </row>
    <row r="151" spans="8:12" x14ac:dyDescent="0.35">
      <c r="H151" s="13">
        <v>8</v>
      </c>
      <c r="I151" s="13" t="s">
        <v>3</v>
      </c>
      <c r="J151" s="13" t="s">
        <v>2</v>
      </c>
      <c r="K151" s="13" t="s">
        <v>63</v>
      </c>
      <c r="L151" s="13">
        <f>AD123</f>
        <v>9.2103599999999994E-2</v>
      </c>
    </row>
    <row r="152" spans="8:12" x14ac:dyDescent="0.35">
      <c r="H152" s="13">
        <v>8</v>
      </c>
      <c r="I152" s="13" t="s">
        <v>1</v>
      </c>
      <c r="J152" s="13" t="s">
        <v>0</v>
      </c>
      <c r="K152" s="13" t="s">
        <v>63</v>
      </c>
      <c r="L152" s="13">
        <f>AD124</f>
        <v>5.6748100000000003E-2</v>
      </c>
    </row>
    <row r="153" spans="8:12" x14ac:dyDescent="0.35">
      <c r="H153" s="13">
        <v>8</v>
      </c>
      <c r="I153" s="13" t="s">
        <v>1</v>
      </c>
      <c r="J153" s="13" t="s">
        <v>2</v>
      </c>
      <c r="K153" s="13" t="s">
        <v>63</v>
      </c>
      <c r="L153" s="13">
        <f>AD125</f>
        <v>5.8549299999999999E-2</v>
      </c>
    </row>
    <row r="154" spans="8:12" x14ac:dyDescent="0.35">
      <c r="H154" s="13">
        <v>9</v>
      </c>
      <c r="I154" s="13" t="s">
        <v>3</v>
      </c>
      <c r="J154" s="13" t="s">
        <v>0</v>
      </c>
      <c r="K154" s="13" t="s">
        <v>63</v>
      </c>
      <c r="L154" s="13">
        <f>AE122</f>
        <v>8.6321899999999993E-2</v>
      </c>
    </row>
    <row r="155" spans="8:12" x14ac:dyDescent="0.35">
      <c r="H155" s="13">
        <v>9</v>
      </c>
      <c r="I155" s="13" t="s">
        <v>3</v>
      </c>
      <c r="J155" s="13" t="s">
        <v>2</v>
      </c>
      <c r="K155" s="13" t="s">
        <v>63</v>
      </c>
      <c r="L155" s="13">
        <f>AE123</f>
        <v>8.1918500000000005E-2</v>
      </c>
    </row>
    <row r="156" spans="8:12" x14ac:dyDescent="0.35">
      <c r="H156" s="13">
        <v>9</v>
      </c>
      <c r="I156" s="13" t="s">
        <v>1</v>
      </c>
      <c r="J156" s="13" t="s">
        <v>0</v>
      </c>
      <c r="K156" s="13" t="s">
        <v>63</v>
      </c>
      <c r="L156" s="13">
        <f>AE124</f>
        <v>5.5985500000000001E-2</v>
      </c>
    </row>
    <row r="157" spans="8:12" x14ac:dyDescent="0.35">
      <c r="H157" s="13">
        <v>9</v>
      </c>
      <c r="I157" s="13" t="s">
        <v>1</v>
      </c>
      <c r="J157" s="13" t="s">
        <v>2</v>
      </c>
      <c r="K157" s="13" t="s">
        <v>63</v>
      </c>
      <c r="L157" s="13">
        <f>AE125</f>
        <v>6.10488E-2</v>
      </c>
    </row>
    <row r="158" spans="8:12" x14ac:dyDescent="0.35">
      <c r="H158" s="13">
        <v>10</v>
      </c>
      <c r="I158" s="13" t="s">
        <v>3</v>
      </c>
      <c r="J158" s="13" t="s">
        <v>0</v>
      </c>
      <c r="K158" s="13" t="s">
        <v>63</v>
      </c>
      <c r="L158" s="13">
        <f>AF122</f>
        <v>7.4887300000000004E-2</v>
      </c>
    </row>
    <row r="159" spans="8:12" x14ac:dyDescent="0.35">
      <c r="H159" s="13">
        <v>10</v>
      </c>
      <c r="I159" s="13" t="s">
        <v>3</v>
      </c>
      <c r="J159" s="13" t="s">
        <v>2</v>
      </c>
      <c r="K159" s="13" t="s">
        <v>63</v>
      </c>
      <c r="L159" s="13">
        <f t="shared" ref="L159:L161" si="3">AF123</f>
        <v>7.9690200000000003E-2</v>
      </c>
    </row>
    <row r="160" spans="8:12" x14ac:dyDescent="0.35">
      <c r="H160" s="13">
        <v>10</v>
      </c>
      <c r="I160" s="13" t="s">
        <v>1</v>
      </c>
      <c r="J160" s="13" t="s">
        <v>0</v>
      </c>
      <c r="K160" s="13" t="s">
        <v>63</v>
      </c>
      <c r="L160" s="13">
        <f t="shared" si="3"/>
        <v>5.7326500000000002E-2</v>
      </c>
    </row>
    <row r="161" spans="1:32" x14ac:dyDescent="0.35">
      <c r="H161" s="13">
        <v>10</v>
      </c>
      <c r="I161" s="13" t="s">
        <v>1</v>
      </c>
      <c r="J161" s="13" t="s">
        <v>2</v>
      </c>
      <c r="K161" s="13" t="s">
        <v>63</v>
      </c>
      <c r="L161" s="13">
        <f t="shared" si="3"/>
        <v>5.0193399999999999E-2</v>
      </c>
    </row>
    <row r="162" spans="1:32" x14ac:dyDescent="0.35">
      <c r="A162" t="s">
        <v>14</v>
      </c>
      <c r="D162" t="s">
        <v>44</v>
      </c>
      <c r="E162" t="s">
        <v>5</v>
      </c>
      <c r="F162" t="s">
        <v>43</v>
      </c>
      <c r="G162">
        <v>80</v>
      </c>
      <c r="H162" s="13">
        <v>1</v>
      </c>
      <c r="I162" s="13" t="s">
        <v>3</v>
      </c>
      <c r="J162" s="13" t="s">
        <v>0</v>
      </c>
      <c r="K162" s="13" t="s">
        <v>64</v>
      </c>
      <c r="L162" s="13">
        <f>W162</f>
        <v>4.7848700000000001E-2</v>
      </c>
      <c r="P162" t="str">
        <f>[1]Sheet4!B450</f>
        <v>---------</v>
      </c>
      <c r="Q162" t="str">
        <f>[1]Sheet4!C450</f>
        <v>----------</v>
      </c>
      <c r="R162" t="str">
        <f>[1]Sheet4!D450</f>
        <v>------------</v>
      </c>
      <c r="S162" t="str">
        <f>[1]Sheet4!E450</f>
        <v>----------</v>
      </c>
      <c r="W162">
        <v>4.7848700000000001E-2</v>
      </c>
      <c r="X162">
        <v>5.6727300000000001E-2</v>
      </c>
      <c r="Y162">
        <v>4.81117E-2</v>
      </c>
      <c r="Z162">
        <v>7.2749300000000003E-2</v>
      </c>
      <c r="AA162">
        <v>7.6283100000000006E-2</v>
      </c>
      <c r="AB162">
        <v>9.2338799999999999E-2</v>
      </c>
      <c r="AC162">
        <v>0.1123528</v>
      </c>
      <c r="AD162">
        <v>0.1211839</v>
      </c>
      <c r="AE162">
        <v>0.13677919999999999</v>
      </c>
      <c r="AF162">
        <v>0.17679130000000001</v>
      </c>
    </row>
    <row r="163" spans="1:32" x14ac:dyDescent="0.35">
      <c r="H163" s="13">
        <v>1</v>
      </c>
      <c r="I163" s="13" t="s">
        <v>3</v>
      </c>
      <c r="J163" s="13" t="s">
        <v>2</v>
      </c>
      <c r="K163" s="13" t="s">
        <v>64</v>
      </c>
      <c r="L163" s="13">
        <f>W163</f>
        <v>4.9736200000000001E-2</v>
      </c>
      <c r="P163" t="str">
        <f>[1]Sheet4!B451</f>
        <v> .5050647</v>
      </c>
      <c r="Q163" t="str">
        <f>[1]Sheet4!C451</f>
        <v>  .4910806</v>
      </c>
      <c r="R163" t="str">
        <f>[1]Sheet4!D451</f>
        <v>     .547365</v>
      </c>
      <c r="S163" t="str">
        <f>[1]Sheet4!E451</f>
        <v>  .5816041</v>
      </c>
      <c r="W163">
        <v>4.9736200000000001E-2</v>
      </c>
      <c r="X163">
        <v>6.3570199999999993E-2</v>
      </c>
      <c r="Y163">
        <v>5.7116699999999999E-2</v>
      </c>
      <c r="Z163">
        <v>7.6611100000000001E-2</v>
      </c>
      <c r="AA163">
        <v>9.4104300000000002E-2</v>
      </c>
      <c r="AB163">
        <v>9.9491499999999997E-2</v>
      </c>
      <c r="AC163">
        <v>0.110336</v>
      </c>
      <c r="AD163">
        <v>0.11950239999999999</v>
      </c>
      <c r="AE163">
        <v>0.15096180000000001</v>
      </c>
      <c r="AF163">
        <v>0.16019549999999999</v>
      </c>
    </row>
    <row r="164" spans="1:32" x14ac:dyDescent="0.35">
      <c r="H164" s="13">
        <v>1</v>
      </c>
      <c r="I164" s="13" t="s">
        <v>1</v>
      </c>
      <c r="J164" s="13" t="s">
        <v>0</v>
      </c>
      <c r="K164" s="13" t="s">
        <v>64</v>
      </c>
      <c r="L164" s="13">
        <f>W164</f>
        <v>3.82908E-2</v>
      </c>
      <c r="P164" t="str">
        <f>[1]Sheet4!B452</f>
        <v> .4902523</v>
      </c>
      <c r="Q164" t="str">
        <f>[1]Sheet4!C452</f>
        <v>  .4456916</v>
      </c>
      <c r="R164" t="str">
        <f>[1]Sheet4!D452</f>
        <v>     .555739</v>
      </c>
      <c r="S164" t="str">
        <f>[1]Sheet4!E452</f>
        <v>  .5485743</v>
      </c>
      <c r="W164">
        <v>3.82908E-2</v>
      </c>
      <c r="X164">
        <v>6.0037300000000002E-2</v>
      </c>
      <c r="Y164">
        <v>4.9646599999999999E-2</v>
      </c>
      <c r="Z164">
        <v>5.3489399999999999E-2</v>
      </c>
      <c r="AA164">
        <v>9.8608899999999999E-2</v>
      </c>
      <c r="AB164">
        <v>9.3640600000000004E-2</v>
      </c>
      <c r="AC164">
        <v>0.1152886</v>
      </c>
      <c r="AD164">
        <v>0.1045764</v>
      </c>
      <c r="AE164">
        <v>0.1270126</v>
      </c>
      <c r="AF164">
        <v>0.24312890000000001</v>
      </c>
    </row>
    <row r="165" spans="1:32" x14ac:dyDescent="0.35">
      <c r="H165" s="13">
        <v>1</v>
      </c>
      <c r="I165" s="13" t="s">
        <v>1</v>
      </c>
      <c r="J165" s="13" t="s">
        <v>2</v>
      </c>
      <c r="K165" s="13" t="s">
        <v>64</v>
      </c>
      <c r="L165" s="13">
        <f>W165</f>
        <v>3.5873299999999997E-2</v>
      </c>
      <c r="P165" t="str">
        <f>[1]Sheet4!B453</f>
        <v> .4753704</v>
      </c>
      <c r="Q165" t="str">
        <f>[1]Sheet4!C453</f>
        <v>  .4782545</v>
      </c>
      <c r="R165" t="str">
        <f>[1]Sheet4!D453</f>
        <v>    .5559052</v>
      </c>
      <c r="S165" t="str">
        <f>[1]Sheet4!E453</f>
        <v>  .5474382</v>
      </c>
      <c r="W165">
        <v>3.5873299999999997E-2</v>
      </c>
      <c r="X165">
        <v>6.3122899999999996E-2</v>
      </c>
      <c r="Y165">
        <v>5.1866599999999999E-2</v>
      </c>
      <c r="Z165">
        <v>5.61399E-2</v>
      </c>
      <c r="AA165">
        <v>9.1678399999999993E-2</v>
      </c>
      <c r="AB165">
        <v>9.1567599999999999E-2</v>
      </c>
      <c r="AC165">
        <v>0.1172692</v>
      </c>
      <c r="AD165">
        <v>0.1249379</v>
      </c>
      <c r="AE165">
        <v>0.1546534</v>
      </c>
      <c r="AF165">
        <v>0.2413342</v>
      </c>
    </row>
    <row r="166" spans="1:32" x14ac:dyDescent="0.35">
      <c r="H166" s="13">
        <v>2</v>
      </c>
      <c r="I166" s="13" t="s">
        <v>3</v>
      </c>
      <c r="J166" s="13" t="s">
        <v>0</v>
      </c>
      <c r="K166" s="13" t="s">
        <v>64</v>
      </c>
      <c r="L166" s="13">
        <f>X162</f>
        <v>5.6727300000000001E-2</v>
      </c>
      <c r="P166" t="str">
        <f>[1]Sheet4!B454</f>
        <v>  .462934</v>
      </c>
      <c r="Q166" t="str">
        <f>[1]Sheet4!C454</f>
        <v>  .4446257</v>
      </c>
      <c r="R166" t="str">
        <f>[1]Sheet4!D454</f>
        <v>    .5633706</v>
      </c>
      <c r="S166" t="str">
        <f>[1]Sheet4!E454</f>
        <v>  .5480719</v>
      </c>
    </row>
    <row r="167" spans="1:32" x14ac:dyDescent="0.35">
      <c r="H167" s="13">
        <v>2</v>
      </c>
      <c r="I167" s="13" t="s">
        <v>3</v>
      </c>
      <c r="J167" s="13" t="s">
        <v>2</v>
      </c>
      <c r="K167" s="13" t="s">
        <v>64</v>
      </c>
      <c r="L167" s="13">
        <f>X163</f>
        <v>6.3570199999999993E-2</v>
      </c>
      <c r="P167" t="str">
        <f>[1]Sheet4!B455</f>
        <v> .4635581</v>
      </c>
      <c r="Q167" t="str">
        <f>[1]Sheet4!C455</f>
        <v>  .4498583</v>
      </c>
      <c r="R167" t="str">
        <f>[1]Sheet4!D455</f>
        <v>    .4899845</v>
      </c>
      <c r="S167" t="str">
        <f>[1]Sheet4!E455</f>
        <v>  .4792188</v>
      </c>
    </row>
    <row r="168" spans="1:32" x14ac:dyDescent="0.35">
      <c r="H168" s="13">
        <v>2</v>
      </c>
      <c r="I168" s="13" t="s">
        <v>1</v>
      </c>
      <c r="J168" s="13" t="s">
        <v>0</v>
      </c>
      <c r="K168" s="13" t="s">
        <v>64</v>
      </c>
      <c r="L168" s="13">
        <f>X164</f>
        <v>6.0037300000000002E-2</v>
      </c>
      <c r="P168" t="str">
        <f>[1]Sheet4!B456</f>
        <v> .4090484</v>
      </c>
      <c r="Q168" t="str">
        <f>[1]Sheet4!C456</f>
        <v>  .4052014</v>
      </c>
      <c r="R168" t="str">
        <f>[1]Sheet4!D456</f>
        <v>    .4958486</v>
      </c>
      <c r="S168" t="str">
        <f>[1]Sheet4!E456</f>
        <v>  .4778818</v>
      </c>
    </row>
    <row r="169" spans="1:32" x14ac:dyDescent="0.35">
      <c r="H169" s="13">
        <v>2</v>
      </c>
      <c r="I169" s="13" t="s">
        <v>1</v>
      </c>
      <c r="J169" s="13" t="s">
        <v>2</v>
      </c>
      <c r="K169" s="13" t="s">
        <v>64</v>
      </c>
      <c r="L169" s="13">
        <f>X165</f>
        <v>6.3122899999999996E-2</v>
      </c>
      <c r="P169" t="str">
        <f>[1]Sheet4!B457</f>
        <v> .4067877</v>
      </c>
      <c r="Q169" t="str">
        <f>[1]Sheet4!C457</f>
        <v>  .3826749</v>
      </c>
      <c r="R169" t="str">
        <f>[1]Sheet4!D457</f>
        <v>    .4519104</v>
      </c>
      <c r="S169" t="str">
        <f>[1]Sheet4!E457</f>
        <v>  .4312331</v>
      </c>
    </row>
    <row r="170" spans="1:32" x14ac:dyDescent="0.35">
      <c r="H170" s="13">
        <v>3</v>
      </c>
      <c r="I170" s="13" t="s">
        <v>3</v>
      </c>
      <c r="J170" s="13" t="s">
        <v>0</v>
      </c>
      <c r="K170" s="13" t="s">
        <v>64</v>
      </c>
      <c r="L170" s="13">
        <f>Y162</f>
        <v>4.81117E-2</v>
      </c>
      <c r="P170" t="str">
        <f>[1]Sheet4!B458</f>
        <v> .3603745</v>
      </c>
      <c r="Q170" t="str">
        <f>[1]Sheet4!C458</f>
        <v>  .3360284</v>
      </c>
      <c r="R170" t="str">
        <f>[1]Sheet4!D458</f>
        <v>    .4430119</v>
      </c>
      <c r="S170" t="str">
        <f>[1]Sheet4!E458</f>
        <v>  .4250221</v>
      </c>
    </row>
    <row r="171" spans="1:32" x14ac:dyDescent="0.35">
      <c r="H171" s="13">
        <v>3</v>
      </c>
      <c r="I171" s="13" t="s">
        <v>3</v>
      </c>
      <c r="J171" s="13" t="s">
        <v>2</v>
      </c>
      <c r="K171" s="13" t="s">
        <v>64</v>
      </c>
      <c r="L171" s="13">
        <f>Y163</f>
        <v>5.7116699999999999E-2</v>
      </c>
      <c r="P171" t="str">
        <f>[1]Sheet4!B459</f>
        <v> .2867271</v>
      </c>
      <c r="Q171" t="str">
        <f>[1]Sheet4!C459</f>
        <v>  .2754932</v>
      </c>
      <c r="R171" t="str">
        <f>[1]Sheet4!D459</f>
        <v>    .3371556</v>
      </c>
      <c r="S171" t="str">
        <f>[1]Sheet4!E459</f>
        <v>  .2546583</v>
      </c>
    </row>
    <row r="172" spans="1:32" x14ac:dyDescent="0.35">
      <c r="H172" s="13">
        <v>3</v>
      </c>
      <c r="I172" s="13" t="s">
        <v>1</v>
      </c>
      <c r="J172" s="13" t="s">
        <v>0</v>
      </c>
      <c r="K172" s="13" t="s">
        <v>64</v>
      </c>
      <c r="L172" s="13">
        <f>Y164</f>
        <v>4.9646599999999999E-2</v>
      </c>
    </row>
    <row r="173" spans="1:32" x14ac:dyDescent="0.35">
      <c r="H173" s="13">
        <v>3</v>
      </c>
      <c r="I173" s="13" t="s">
        <v>1</v>
      </c>
      <c r="J173" s="13" t="s">
        <v>2</v>
      </c>
      <c r="K173" s="13" t="s">
        <v>64</v>
      </c>
      <c r="L173" s="13">
        <f>Y165</f>
        <v>5.1866599999999999E-2</v>
      </c>
    </row>
    <row r="174" spans="1:32" x14ac:dyDescent="0.35">
      <c r="H174" s="13">
        <v>4</v>
      </c>
      <c r="I174" s="13" t="s">
        <v>3</v>
      </c>
      <c r="J174" s="13" t="s">
        <v>0</v>
      </c>
      <c r="K174" s="13" t="s">
        <v>64</v>
      </c>
      <c r="L174" s="13">
        <f>Z162</f>
        <v>7.2749300000000003E-2</v>
      </c>
    </row>
    <row r="175" spans="1:32" x14ac:dyDescent="0.35">
      <c r="H175" s="13">
        <v>4</v>
      </c>
      <c r="I175" s="13" t="s">
        <v>3</v>
      </c>
      <c r="J175" s="13" t="s">
        <v>2</v>
      </c>
      <c r="K175" s="13" t="s">
        <v>64</v>
      </c>
      <c r="L175" s="13">
        <f>Z163</f>
        <v>7.6611100000000001E-2</v>
      </c>
    </row>
    <row r="176" spans="1:32" x14ac:dyDescent="0.35">
      <c r="H176" s="13">
        <v>4</v>
      </c>
      <c r="I176" s="13" t="s">
        <v>1</v>
      </c>
      <c r="J176" s="13" t="s">
        <v>0</v>
      </c>
      <c r="K176" s="13" t="s">
        <v>64</v>
      </c>
      <c r="L176" s="13">
        <f>Z164</f>
        <v>5.3489399999999999E-2</v>
      </c>
    </row>
    <row r="177" spans="8:12" x14ac:dyDescent="0.35">
      <c r="H177" s="13">
        <v>4</v>
      </c>
      <c r="I177" s="13" t="s">
        <v>1</v>
      </c>
      <c r="J177" s="13" t="s">
        <v>2</v>
      </c>
      <c r="K177" s="13" t="s">
        <v>64</v>
      </c>
      <c r="L177" s="13">
        <f>Z165</f>
        <v>5.61399E-2</v>
      </c>
    </row>
    <row r="178" spans="8:12" x14ac:dyDescent="0.35">
      <c r="H178" s="13">
        <v>5</v>
      </c>
      <c r="I178" s="13" t="s">
        <v>3</v>
      </c>
      <c r="J178" s="13" t="s">
        <v>0</v>
      </c>
      <c r="K178" s="13" t="s">
        <v>64</v>
      </c>
      <c r="L178" s="13">
        <f>AA162</f>
        <v>7.6283100000000006E-2</v>
      </c>
    </row>
    <row r="179" spans="8:12" x14ac:dyDescent="0.35">
      <c r="H179" s="13">
        <v>5</v>
      </c>
      <c r="I179" s="13" t="s">
        <v>3</v>
      </c>
      <c r="J179" s="13" t="s">
        <v>2</v>
      </c>
      <c r="K179" s="13" t="s">
        <v>64</v>
      </c>
      <c r="L179" s="13">
        <f>AA163</f>
        <v>9.4104300000000002E-2</v>
      </c>
    </row>
    <row r="180" spans="8:12" x14ac:dyDescent="0.35">
      <c r="H180" s="13">
        <v>5</v>
      </c>
      <c r="I180" s="13" t="s">
        <v>1</v>
      </c>
      <c r="J180" s="13" t="s">
        <v>0</v>
      </c>
      <c r="K180" s="13" t="s">
        <v>64</v>
      </c>
      <c r="L180" s="13">
        <f>AA164</f>
        <v>9.8608899999999999E-2</v>
      </c>
    </row>
    <row r="181" spans="8:12" x14ac:dyDescent="0.35">
      <c r="H181" s="13">
        <v>5</v>
      </c>
      <c r="I181" s="13" t="s">
        <v>1</v>
      </c>
      <c r="J181" s="13" t="s">
        <v>2</v>
      </c>
      <c r="K181" s="13" t="s">
        <v>64</v>
      </c>
      <c r="L181" s="13">
        <f>AA165</f>
        <v>9.1678399999999993E-2</v>
      </c>
    </row>
    <row r="182" spans="8:12" x14ac:dyDescent="0.35">
      <c r="H182" s="13">
        <v>6</v>
      </c>
      <c r="I182" s="13" t="s">
        <v>3</v>
      </c>
      <c r="J182" s="13" t="s">
        <v>0</v>
      </c>
      <c r="K182" s="13" t="s">
        <v>64</v>
      </c>
      <c r="L182" s="13">
        <f>AB162</f>
        <v>9.2338799999999999E-2</v>
      </c>
    </row>
    <row r="183" spans="8:12" x14ac:dyDescent="0.35">
      <c r="H183" s="13">
        <v>6</v>
      </c>
      <c r="I183" s="13" t="s">
        <v>3</v>
      </c>
      <c r="J183" s="13" t="s">
        <v>2</v>
      </c>
      <c r="K183" s="13" t="s">
        <v>64</v>
      </c>
      <c r="L183" s="13">
        <f>AB163</f>
        <v>9.9491499999999997E-2</v>
      </c>
    </row>
    <row r="184" spans="8:12" x14ac:dyDescent="0.35">
      <c r="H184" s="13">
        <v>6</v>
      </c>
      <c r="I184" s="13" t="s">
        <v>1</v>
      </c>
      <c r="J184" s="13" t="s">
        <v>0</v>
      </c>
      <c r="K184" s="13" t="s">
        <v>64</v>
      </c>
      <c r="L184" s="13">
        <f>AB164</f>
        <v>9.3640600000000004E-2</v>
      </c>
    </row>
    <row r="185" spans="8:12" x14ac:dyDescent="0.35">
      <c r="H185" s="13">
        <v>6</v>
      </c>
      <c r="I185" s="13" t="s">
        <v>1</v>
      </c>
      <c r="J185" s="13" t="s">
        <v>2</v>
      </c>
      <c r="K185" s="13" t="s">
        <v>64</v>
      </c>
      <c r="L185" s="13">
        <f>AB165</f>
        <v>9.1567599999999999E-2</v>
      </c>
    </row>
    <row r="186" spans="8:12" x14ac:dyDescent="0.35">
      <c r="H186" s="13">
        <v>7</v>
      </c>
      <c r="I186" s="13" t="s">
        <v>3</v>
      </c>
      <c r="J186" s="13" t="s">
        <v>0</v>
      </c>
      <c r="K186" s="13" t="s">
        <v>64</v>
      </c>
      <c r="L186" s="13">
        <f>AC162</f>
        <v>0.1123528</v>
      </c>
    </row>
    <row r="187" spans="8:12" x14ac:dyDescent="0.35">
      <c r="H187" s="13">
        <v>7</v>
      </c>
      <c r="I187" s="13" t="s">
        <v>3</v>
      </c>
      <c r="J187" s="13" t="s">
        <v>2</v>
      </c>
      <c r="K187" s="13" t="s">
        <v>64</v>
      </c>
      <c r="L187" s="13">
        <f>AC163</f>
        <v>0.110336</v>
      </c>
    </row>
    <row r="188" spans="8:12" x14ac:dyDescent="0.35">
      <c r="H188" s="13">
        <v>7</v>
      </c>
      <c r="I188" s="13" t="s">
        <v>1</v>
      </c>
      <c r="J188" s="13" t="s">
        <v>0</v>
      </c>
      <c r="K188" s="13" t="s">
        <v>64</v>
      </c>
      <c r="L188" s="13">
        <f>AC164</f>
        <v>0.1152886</v>
      </c>
    </row>
    <row r="189" spans="8:12" x14ac:dyDescent="0.35">
      <c r="H189" s="13">
        <v>7</v>
      </c>
      <c r="I189" s="13" t="s">
        <v>1</v>
      </c>
      <c r="J189" s="13" t="s">
        <v>2</v>
      </c>
      <c r="K189" s="13" t="s">
        <v>64</v>
      </c>
      <c r="L189" s="13">
        <f>AC165</f>
        <v>0.1172692</v>
      </c>
    </row>
    <row r="190" spans="8:12" x14ac:dyDescent="0.35">
      <c r="H190" s="13">
        <v>8</v>
      </c>
      <c r="I190" s="13" t="s">
        <v>3</v>
      </c>
      <c r="J190" s="13" t="s">
        <v>0</v>
      </c>
      <c r="K190" s="13" t="s">
        <v>64</v>
      </c>
      <c r="L190" s="13">
        <f>AD162</f>
        <v>0.1211839</v>
      </c>
    </row>
    <row r="191" spans="8:12" x14ac:dyDescent="0.35">
      <c r="H191" s="13">
        <v>8</v>
      </c>
      <c r="I191" s="13" t="s">
        <v>3</v>
      </c>
      <c r="J191" s="13" t="s">
        <v>2</v>
      </c>
      <c r="K191" s="13" t="s">
        <v>64</v>
      </c>
      <c r="L191" s="13">
        <f>AD163</f>
        <v>0.11950239999999999</v>
      </c>
    </row>
    <row r="192" spans="8:12" x14ac:dyDescent="0.35">
      <c r="H192" s="13">
        <v>8</v>
      </c>
      <c r="I192" s="13" t="s">
        <v>1</v>
      </c>
      <c r="J192" s="13" t="s">
        <v>0</v>
      </c>
      <c r="K192" s="13" t="s">
        <v>64</v>
      </c>
      <c r="L192" s="13">
        <f>AD164</f>
        <v>0.1045764</v>
      </c>
    </row>
    <row r="193" spans="8:32" x14ac:dyDescent="0.35">
      <c r="H193" s="13">
        <v>8</v>
      </c>
      <c r="I193" s="13" t="s">
        <v>1</v>
      </c>
      <c r="J193" s="13" t="s">
        <v>2</v>
      </c>
      <c r="K193" s="13" t="s">
        <v>64</v>
      </c>
      <c r="L193" s="13">
        <f>AD165</f>
        <v>0.1249379</v>
      </c>
    </row>
    <row r="194" spans="8:32" x14ac:dyDescent="0.35">
      <c r="H194" s="13">
        <v>9</v>
      </c>
      <c r="I194" s="13" t="s">
        <v>3</v>
      </c>
      <c r="J194" s="13" t="s">
        <v>0</v>
      </c>
      <c r="K194" s="13" t="s">
        <v>64</v>
      </c>
      <c r="L194" s="13">
        <f>AE162</f>
        <v>0.13677919999999999</v>
      </c>
    </row>
    <row r="195" spans="8:32" x14ac:dyDescent="0.35">
      <c r="H195" s="13">
        <v>9</v>
      </c>
      <c r="I195" s="13" t="s">
        <v>3</v>
      </c>
      <c r="J195" s="13" t="s">
        <v>2</v>
      </c>
      <c r="K195" s="13" t="s">
        <v>64</v>
      </c>
      <c r="L195" s="13">
        <f>AE163</f>
        <v>0.15096180000000001</v>
      </c>
    </row>
    <row r="196" spans="8:32" x14ac:dyDescent="0.35">
      <c r="H196" s="13">
        <v>9</v>
      </c>
      <c r="I196" s="13" t="s">
        <v>1</v>
      </c>
      <c r="J196" s="13" t="s">
        <v>0</v>
      </c>
      <c r="K196" s="13" t="s">
        <v>64</v>
      </c>
      <c r="L196" s="13">
        <f>AE164</f>
        <v>0.1270126</v>
      </c>
    </row>
    <row r="197" spans="8:32" x14ac:dyDescent="0.35">
      <c r="H197" s="13">
        <v>9</v>
      </c>
      <c r="I197" s="13" t="s">
        <v>1</v>
      </c>
      <c r="J197" s="13" t="s">
        <v>2</v>
      </c>
      <c r="K197" s="13" t="s">
        <v>64</v>
      </c>
      <c r="L197" s="13">
        <f>AE165</f>
        <v>0.1546534</v>
      </c>
    </row>
    <row r="198" spans="8:32" x14ac:dyDescent="0.35">
      <c r="H198" s="13">
        <v>10</v>
      </c>
      <c r="I198" s="13" t="s">
        <v>3</v>
      </c>
      <c r="J198" s="13" t="s">
        <v>0</v>
      </c>
      <c r="K198" s="13" t="s">
        <v>64</v>
      </c>
      <c r="L198" s="13">
        <f>AF162</f>
        <v>0.17679130000000001</v>
      </c>
    </row>
    <row r="199" spans="8:32" x14ac:dyDescent="0.35">
      <c r="H199" s="13">
        <v>10</v>
      </c>
      <c r="I199" s="13" t="s">
        <v>3</v>
      </c>
      <c r="J199" s="13" t="s">
        <v>2</v>
      </c>
      <c r="K199" s="13" t="s">
        <v>64</v>
      </c>
      <c r="L199" s="13">
        <f t="shared" ref="L199:L201" si="4">AF163</f>
        <v>0.16019549999999999</v>
      </c>
    </row>
    <row r="200" spans="8:32" x14ac:dyDescent="0.35">
      <c r="H200" s="13">
        <v>10</v>
      </c>
      <c r="I200" s="13" t="s">
        <v>1</v>
      </c>
      <c r="J200" s="13" t="s">
        <v>0</v>
      </c>
      <c r="K200" s="13" t="s">
        <v>64</v>
      </c>
      <c r="L200" s="13">
        <f t="shared" si="4"/>
        <v>0.24312890000000001</v>
      </c>
    </row>
    <row r="201" spans="8:32" x14ac:dyDescent="0.35">
      <c r="H201" s="13">
        <v>10</v>
      </c>
      <c r="I201" s="13" t="s">
        <v>1</v>
      </c>
      <c r="J201" s="13" t="s">
        <v>2</v>
      </c>
      <c r="K201" s="13" t="s">
        <v>64</v>
      </c>
      <c r="L201" s="13">
        <f t="shared" si="4"/>
        <v>0.2413342</v>
      </c>
    </row>
    <row r="202" spans="8:32" x14ac:dyDescent="0.35">
      <c r="H202" s="13">
        <v>1</v>
      </c>
      <c r="I202" s="13" t="s">
        <v>3</v>
      </c>
      <c r="J202" s="13" t="s">
        <v>0</v>
      </c>
      <c r="K202" s="13" t="s">
        <v>63</v>
      </c>
      <c r="L202" s="13">
        <f>W202</f>
        <v>4.1832500000000002E-2</v>
      </c>
      <c r="P202" t="str">
        <f>[1]Sheet4!B469</f>
        <v>---------</v>
      </c>
      <c r="Q202" t="str">
        <f>[1]Sheet4!C469</f>
        <v>----------</v>
      </c>
      <c r="R202" t="str">
        <f>[1]Sheet4!D469</f>
        <v>------------</v>
      </c>
      <c r="S202" t="str">
        <f>[1]Sheet4!E469</f>
        <v>----------</v>
      </c>
      <c r="W202">
        <v>4.1832500000000002E-2</v>
      </c>
      <c r="X202">
        <v>4.7130100000000001E-2</v>
      </c>
      <c r="Y202">
        <v>3.6118200000000003E-2</v>
      </c>
      <c r="Z202">
        <v>5.4723399999999998E-2</v>
      </c>
      <c r="AA202">
        <v>5.7899300000000001E-2</v>
      </c>
      <c r="AB202">
        <v>8.8154300000000005E-2</v>
      </c>
      <c r="AC202">
        <v>0.1030742</v>
      </c>
      <c r="AD202">
        <v>0.1188883</v>
      </c>
      <c r="AE202">
        <v>0.13399820000000001</v>
      </c>
      <c r="AF202">
        <v>0.17282230000000001</v>
      </c>
    </row>
    <row r="203" spans="8:32" x14ac:dyDescent="0.35">
      <c r="H203" s="13">
        <v>1</v>
      </c>
      <c r="I203" s="13" t="s">
        <v>3</v>
      </c>
      <c r="J203" s="13" t="s">
        <v>2</v>
      </c>
      <c r="K203" s="13" t="s">
        <v>63</v>
      </c>
      <c r="L203" s="13">
        <f>W203</f>
        <v>4.6736399999999997E-2</v>
      </c>
      <c r="P203" t="str">
        <f>[1]Sheet4!B470</f>
        <v> .0478487</v>
      </c>
      <c r="Q203" t="str">
        <f>[1]Sheet4!C470</f>
        <v>  .0497362</v>
      </c>
      <c r="R203" t="str">
        <f>[1]Sheet4!D470</f>
        <v>    .0382908</v>
      </c>
      <c r="S203" t="str">
        <f>[1]Sheet4!E470</f>
        <v>  .0358733</v>
      </c>
      <c r="W203">
        <v>4.6736399999999997E-2</v>
      </c>
      <c r="X203">
        <v>5.7139099999999998E-2</v>
      </c>
      <c r="Y203">
        <v>4.9727500000000001E-2</v>
      </c>
      <c r="Z203">
        <v>7.0859000000000005E-2</v>
      </c>
      <c r="AA203">
        <v>8.0470600000000003E-2</v>
      </c>
      <c r="AB203">
        <v>0.10891099999999999</v>
      </c>
      <c r="AC203">
        <v>9.9961599999999998E-2</v>
      </c>
      <c r="AD203">
        <v>0.1117561</v>
      </c>
      <c r="AE203">
        <v>0.14887310000000001</v>
      </c>
      <c r="AF203">
        <v>0.16820750000000001</v>
      </c>
    </row>
    <row r="204" spans="8:32" x14ac:dyDescent="0.35">
      <c r="H204" s="13">
        <v>1</v>
      </c>
      <c r="I204" s="13" t="s">
        <v>1</v>
      </c>
      <c r="J204" s="13" t="s">
        <v>0</v>
      </c>
      <c r="K204" s="13" t="s">
        <v>63</v>
      </c>
      <c r="L204" s="13">
        <f>W204</f>
        <v>3.9053900000000003E-2</v>
      </c>
      <c r="P204" t="str">
        <f>[1]Sheet4!B471</f>
        <v> .0567273</v>
      </c>
      <c r="Q204" t="str">
        <f>[1]Sheet4!C471</f>
        <v>  .0635702</v>
      </c>
      <c r="R204" t="str">
        <f>[1]Sheet4!D471</f>
        <v>    .0600373</v>
      </c>
      <c r="S204" t="str">
        <f>[1]Sheet4!E471</f>
        <v>  .0631229</v>
      </c>
      <c r="W204">
        <v>3.9053900000000003E-2</v>
      </c>
      <c r="X204">
        <v>5.2672799999999999E-2</v>
      </c>
      <c r="Y204">
        <v>4.4345799999999998E-2</v>
      </c>
      <c r="Z204">
        <v>4.4594599999999998E-2</v>
      </c>
      <c r="AA204">
        <v>8.5893899999999995E-2</v>
      </c>
      <c r="AB204">
        <v>8.9396500000000004E-2</v>
      </c>
      <c r="AC204">
        <v>9.4819700000000007E-2</v>
      </c>
      <c r="AD204">
        <v>9.8051600000000003E-2</v>
      </c>
      <c r="AE204">
        <v>0.11710950000000001</v>
      </c>
      <c r="AF204">
        <v>0.2366733</v>
      </c>
    </row>
    <row r="205" spans="8:32" x14ac:dyDescent="0.35">
      <c r="H205" s="13">
        <v>1</v>
      </c>
      <c r="I205" s="13" t="s">
        <v>1</v>
      </c>
      <c r="J205" s="13" t="s">
        <v>2</v>
      </c>
      <c r="K205" s="13" t="s">
        <v>63</v>
      </c>
      <c r="L205" s="13">
        <f>W205</f>
        <v>3.5886700000000001E-2</v>
      </c>
      <c r="P205" t="str">
        <f>[1]Sheet4!B472</f>
        <v> .0481117</v>
      </c>
      <c r="Q205" t="str">
        <f>[1]Sheet4!C472</f>
        <v>  .0571167</v>
      </c>
      <c r="R205" t="str">
        <f>[1]Sheet4!D472</f>
        <v>    .0496466</v>
      </c>
      <c r="S205" t="str">
        <f>[1]Sheet4!E472</f>
        <v>  .0518666</v>
      </c>
      <c r="W205">
        <v>3.5886700000000001E-2</v>
      </c>
      <c r="X205">
        <v>5.6106200000000002E-2</v>
      </c>
      <c r="Y205">
        <v>4.6258300000000002E-2</v>
      </c>
      <c r="Z205">
        <v>4.7844100000000001E-2</v>
      </c>
      <c r="AA205">
        <v>8.6336800000000005E-2</v>
      </c>
      <c r="AB205">
        <v>9.6125299999999997E-2</v>
      </c>
      <c r="AC205">
        <v>0.12400129999999999</v>
      </c>
      <c r="AD205">
        <v>0.1046622</v>
      </c>
      <c r="AE205">
        <v>0.1575636</v>
      </c>
      <c r="AF205">
        <v>0.2057175</v>
      </c>
    </row>
    <row r="206" spans="8:32" x14ac:dyDescent="0.35">
      <c r="H206" s="13">
        <v>2</v>
      </c>
      <c r="I206" s="13" t="s">
        <v>3</v>
      </c>
      <c r="J206" s="13" t="s">
        <v>0</v>
      </c>
      <c r="K206" s="13" t="s">
        <v>63</v>
      </c>
      <c r="L206" s="13">
        <f>X202</f>
        <v>4.7130100000000001E-2</v>
      </c>
      <c r="P206" t="str">
        <f>[1]Sheet4!B473</f>
        <v> .0727493</v>
      </c>
      <c r="Q206" t="str">
        <f>[1]Sheet4!C473</f>
        <v>  .0766111</v>
      </c>
      <c r="R206" t="str">
        <f>[1]Sheet4!D473</f>
        <v>    .0534894</v>
      </c>
      <c r="S206" t="str">
        <f>[1]Sheet4!E473</f>
        <v>  .0561399</v>
      </c>
    </row>
    <row r="207" spans="8:32" x14ac:dyDescent="0.35">
      <c r="H207" s="13">
        <v>2</v>
      </c>
      <c r="I207" s="13" t="s">
        <v>3</v>
      </c>
      <c r="J207" s="13" t="s">
        <v>2</v>
      </c>
      <c r="K207" s="13" t="s">
        <v>63</v>
      </c>
      <c r="L207" s="13">
        <f>X203</f>
        <v>5.7139099999999998E-2</v>
      </c>
      <c r="P207" t="str">
        <f>[1]Sheet4!B474</f>
        <v> .0762831</v>
      </c>
      <c r="Q207" t="str">
        <f>[1]Sheet4!C474</f>
        <v>  .0941043</v>
      </c>
      <c r="R207" t="str">
        <f>[1]Sheet4!D474</f>
        <v>    .0986089</v>
      </c>
      <c r="S207" t="str">
        <f>[1]Sheet4!E474</f>
        <v>  .0916784</v>
      </c>
    </row>
    <row r="208" spans="8:32" x14ac:dyDescent="0.35">
      <c r="H208" s="13">
        <v>2</v>
      </c>
      <c r="I208" s="13" t="s">
        <v>1</v>
      </c>
      <c r="J208" s="13" t="s">
        <v>0</v>
      </c>
      <c r="K208" s="13" t="s">
        <v>63</v>
      </c>
      <c r="L208" s="13">
        <f>X204</f>
        <v>5.2672799999999999E-2</v>
      </c>
      <c r="P208" t="str">
        <f>[1]Sheet4!B475</f>
        <v> .0923388</v>
      </c>
      <c r="Q208" t="str">
        <f>[1]Sheet4!C475</f>
        <v>  .0994915</v>
      </c>
      <c r="R208" t="str">
        <f>[1]Sheet4!D475</f>
        <v>    .0936406</v>
      </c>
      <c r="S208" t="str">
        <f>[1]Sheet4!E475</f>
        <v>  .0915676</v>
      </c>
    </row>
    <row r="209" spans="8:19" x14ac:dyDescent="0.35">
      <c r="H209" s="13">
        <v>2</v>
      </c>
      <c r="I209" s="13" t="s">
        <v>1</v>
      </c>
      <c r="J209" s="13" t="s">
        <v>2</v>
      </c>
      <c r="K209" s="13" t="s">
        <v>63</v>
      </c>
      <c r="L209" s="13">
        <f>X205</f>
        <v>5.6106200000000002E-2</v>
      </c>
      <c r="P209" t="str">
        <f>[1]Sheet4!B476</f>
        <v> .1123528</v>
      </c>
      <c r="Q209" t="str">
        <f>[1]Sheet4!C476</f>
        <v>   .110336</v>
      </c>
      <c r="R209" t="str">
        <f>[1]Sheet4!D476</f>
        <v>    .1152886</v>
      </c>
      <c r="S209" t="str">
        <f>[1]Sheet4!E476</f>
        <v>  .1172692</v>
      </c>
    </row>
    <row r="210" spans="8:19" x14ac:dyDescent="0.35">
      <c r="H210" s="13">
        <v>3</v>
      </c>
      <c r="I210" s="13" t="s">
        <v>3</v>
      </c>
      <c r="J210" s="13" t="s">
        <v>0</v>
      </c>
      <c r="K210" s="13" t="s">
        <v>63</v>
      </c>
      <c r="L210" s="13">
        <f>Y202</f>
        <v>3.6118200000000003E-2</v>
      </c>
      <c r="P210" t="str">
        <f>[1]Sheet4!B477</f>
        <v> .1211839</v>
      </c>
      <c r="Q210" t="str">
        <f>[1]Sheet4!C477</f>
        <v>  .1195024</v>
      </c>
      <c r="R210" t="str">
        <f>[1]Sheet4!D477</f>
        <v>    .1045764</v>
      </c>
      <c r="S210" t="str">
        <f>[1]Sheet4!E477</f>
        <v>  .1249379</v>
      </c>
    </row>
    <row r="211" spans="8:19" x14ac:dyDescent="0.35">
      <c r="H211" s="13">
        <v>3</v>
      </c>
      <c r="I211" s="13" t="s">
        <v>3</v>
      </c>
      <c r="J211" s="13" t="s">
        <v>2</v>
      </c>
      <c r="K211" s="13" t="s">
        <v>63</v>
      </c>
      <c r="L211" s="13">
        <f>Y203</f>
        <v>4.9727500000000001E-2</v>
      </c>
      <c r="P211" t="str">
        <f>[1]Sheet4!B478</f>
        <v> .1367792</v>
      </c>
      <c r="Q211" t="str">
        <f>[1]Sheet4!C478</f>
        <v>  .1509618</v>
      </c>
      <c r="R211" t="str">
        <f>[1]Sheet4!D478</f>
        <v>    .1270126</v>
      </c>
      <c r="S211" t="str">
        <f>[1]Sheet4!E478</f>
        <v>  .1546534</v>
      </c>
    </row>
    <row r="212" spans="8:19" x14ac:dyDescent="0.35">
      <c r="H212" s="13">
        <v>3</v>
      </c>
      <c r="I212" s="13" t="s">
        <v>1</v>
      </c>
      <c r="J212" s="13" t="s">
        <v>0</v>
      </c>
      <c r="K212" s="13" t="s">
        <v>63</v>
      </c>
      <c r="L212" s="13">
        <f>Y204</f>
        <v>4.4345799999999998E-2</v>
      </c>
    </row>
    <row r="213" spans="8:19" x14ac:dyDescent="0.35">
      <c r="H213" s="13">
        <v>3</v>
      </c>
      <c r="I213" s="13" t="s">
        <v>1</v>
      </c>
      <c r="J213" s="13" t="s">
        <v>2</v>
      </c>
      <c r="K213" s="13" t="s">
        <v>63</v>
      </c>
      <c r="L213" s="13">
        <f>Y205</f>
        <v>4.6258300000000002E-2</v>
      </c>
    </row>
    <row r="214" spans="8:19" x14ac:dyDescent="0.35">
      <c r="H214" s="13">
        <v>4</v>
      </c>
      <c r="I214" s="13" t="s">
        <v>3</v>
      </c>
      <c r="J214" s="13" t="s">
        <v>0</v>
      </c>
      <c r="K214" s="13" t="s">
        <v>63</v>
      </c>
      <c r="L214" s="13">
        <f>Z202</f>
        <v>5.4723399999999998E-2</v>
      </c>
    </row>
    <row r="215" spans="8:19" x14ac:dyDescent="0.35">
      <c r="H215" s="13">
        <v>4</v>
      </c>
      <c r="I215" s="13" t="s">
        <v>3</v>
      </c>
      <c r="J215" s="13" t="s">
        <v>2</v>
      </c>
      <c r="K215" s="13" t="s">
        <v>63</v>
      </c>
      <c r="L215" s="13">
        <f>Z203</f>
        <v>7.0859000000000005E-2</v>
      </c>
    </row>
    <row r="216" spans="8:19" x14ac:dyDescent="0.35">
      <c r="H216" s="13">
        <v>4</v>
      </c>
      <c r="I216" s="13" t="s">
        <v>1</v>
      </c>
      <c r="J216" s="13" t="s">
        <v>0</v>
      </c>
      <c r="K216" s="13" t="s">
        <v>63</v>
      </c>
      <c r="L216" s="13">
        <f>Z204</f>
        <v>4.4594599999999998E-2</v>
      </c>
    </row>
    <row r="217" spans="8:19" x14ac:dyDescent="0.35">
      <c r="H217" s="13">
        <v>4</v>
      </c>
      <c r="I217" s="13" t="s">
        <v>1</v>
      </c>
      <c r="J217" s="13" t="s">
        <v>2</v>
      </c>
      <c r="K217" s="13" t="s">
        <v>63</v>
      </c>
      <c r="L217" s="13">
        <f>Z205</f>
        <v>4.7844100000000001E-2</v>
      </c>
    </row>
    <row r="218" spans="8:19" x14ac:dyDescent="0.35">
      <c r="H218" s="13">
        <v>5</v>
      </c>
      <c r="I218" s="13" t="s">
        <v>3</v>
      </c>
      <c r="J218" s="13" t="s">
        <v>0</v>
      </c>
      <c r="K218" s="13" t="s">
        <v>63</v>
      </c>
      <c r="L218" s="13">
        <f>AA202</f>
        <v>5.7899300000000001E-2</v>
      </c>
    </row>
    <row r="219" spans="8:19" x14ac:dyDescent="0.35">
      <c r="H219" s="13">
        <v>5</v>
      </c>
      <c r="I219" s="13" t="s">
        <v>3</v>
      </c>
      <c r="J219" s="13" t="s">
        <v>2</v>
      </c>
      <c r="K219" s="13" t="s">
        <v>63</v>
      </c>
      <c r="L219" s="13">
        <f>AA203</f>
        <v>8.0470600000000003E-2</v>
      </c>
    </row>
    <row r="220" spans="8:19" x14ac:dyDescent="0.35">
      <c r="H220" s="13">
        <v>5</v>
      </c>
      <c r="I220" s="13" t="s">
        <v>1</v>
      </c>
      <c r="J220" s="13" t="s">
        <v>0</v>
      </c>
      <c r="K220" s="13" t="s">
        <v>63</v>
      </c>
      <c r="L220" s="13">
        <f>AA204</f>
        <v>8.5893899999999995E-2</v>
      </c>
    </row>
    <row r="221" spans="8:19" x14ac:dyDescent="0.35">
      <c r="H221" s="13">
        <v>5</v>
      </c>
      <c r="I221" s="13" t="s">
        <v>1</v>
      </c>
      <c r="J221" s="13" t="s">
        <v>2</v>
      </c>
      <c r="K221" s="13" t="s">
        <v>63</v>
      </c>
      <c r="L221" s="13">
        <f>AA205</f>
        <v>8.6336800000000005E-2</v>
      </c>
    </row>
    <row r="222" spans="8:19" x14ac:dyDescent="0.35">
      <c r="H222" s="13">
        <v>6</v>
      </c>
      <c r="I222" s="13" t="s">
        <v>3</v>
      </c>
      <c r="J222" s="13" t="s">
        <v>0</v>
      </c>
      <c r="K222" s="13" t="s">
        <v>63</v>
      </c>
      <c r="L222" s="13">
        <f>AB202</f>
        <v>8.8154300000000005E-2</v>
      </c>
    </row>
    <row r="223" spans="8:19" x14ac:dyDescent="0.35">
      <c r="H223" s="13">
        <v>6</v>
      </c>
      <c r="I223" s="13" t="s">
        <v>3</v>
      </c>
      <c r="J223" s="13" t="s">
        <v>2</v>
      </c>
      <c r="K223" s="13" t="s">
        <v>63</v>
      </c>
      <c r="L223" s="13">
        <f>AB203</f>
        <v>0.10891099999999999</v>
      </c>
    </row>
    <row r="224" spans="8:19" x14ac:dyDescent="0.35">
      <c r="H224" s="13">
        <v>6</v>
      </c>
      <c r="I224" s="13" t="s">
        <v>1</v>
      </c>
      <c r="J224" s="13" t="s">
        <v>0</v>
      </c>
      <c r="K224" s="13" t="s">
        <v>63</v>
      </c>
      <c r="L224" s="13">
        <f>AB204</f>
        <v>8.9396500000000004E-2</v>
      </c>
    </row>
    <row r="225" spans="8:12" x14ac:dyDescent="0.35">
      <c r="H225" s="13">
        <v>6</v>
      </c>
      <c r="I225" s="13" t="s">
        <v>1</v>
      </c>
      <c r="J225" s="13" t="s">
        <v>2</v>
      </c>
      <c r="K225" s="13" t="s">
        <v>63</v>
      </c>
      <c r="L225" s="13">
        <f>AB205</f>
        <v>9.6125299999999997E-2</v>
      </c>
    </row>
    <row r="226" spans="8:12" x14ac:dyDescent="0.35">
      <c r="H226" s="13">
        <v>7</v>
      </c>
      <c r="I226" s="13" t="s">
        <v>3</v>
      </c>
      <c r="J226" s="13" t="s">
        <v>0</v>
      </c>
      <c r="K226" s="13" t="s">
        <v>63</v>
      </c>
      <c r="L226" s="13">
        <f>AC202</f>
        <v>0.1030742</v>
      </c>
    </row>
    <row r="227" spans="8:12" x14ac:dyDescent="0.35">
      <c r="H227" s="13">
        <v>7</v>
      </c>
      <c r="I227" s="13" t="s">
        <v>3</v>
      </c>
      <c r="J227" s="13" t="s">
        <v>2</v>
      </c>
      <c r="K227" s="13" t="s">
        <v>63</v>
      </c>
      <c r="L227" s="13">
        <f>AC203</f>
        <v>9.9961599999999998E-2</v>
      </c>
    </row>
    <row r="228" spans="8:12" x14ac:dyDescent="0.35">
      <c r="H228" s="13">
        <v>7</v>
      </c>
      <c r="I228" s="13" t="s">
        <v>1</v>
      </c>
      <c r="J228" s="13" t="s">
        <v>0</v>
      </c>
      <c r="K228" s="13" t="s">
        <v>63</v>
      </c>
      <c r="L228" s="13">
        <f>AC204</f>
        <v>9.4819700000000007E-2</v>
      </c>
    </row>
    <row r="229" spans="8:12" x14ac:dyDescent="0.35">
      <c r="H229" s="13">
        <v>7</v>
      </c>
      <c r="I229" s="13" t="s">
        <v>1</v>
      </c>
      <c r="J229" s="13" t="s">
        <v>2</v>
      </c>
      <c r="K229" s="13" t="s">
        <v>63</v>
      </c>
      <c r="L229" s="13">
        <f>AC205</f>
        <v>0.12400129999999999</v>
      </c>
    </row>
    <row r="230" spans="8:12" x14ac:dyDescent="0.35">
      <c r="H230" s="13">
        <v>8</v>
      </c>
      <c r="I230" s="13" t="s">
        <v>3</v>
      </c>
      <c r="J230" s="13" t="s">
        <v>0</v>
      </c>
      <c r="K230" s="13" t="s">
        <v>63</v>
      </c>
      <c r="L230" s="13">
        <f>AD202</f>
        <v>0.1188883</v>
      </c>
    </row>
    <row r="231" spans="8:12" x14ac:dyDescent="0.35">
      <c r="H231" s="13">
        <v>8</v>
      </c>
      <c r="I231" s="13" t="s">
        <v>3</v>
      </c>
      <c r="J231" s="13" t="s">
        <v>2</v>
      </c>
      <c r="K231" s="13" t="s">
        <v>63</v>
      </c>
      <c r="L231" s="13">
        <f>AD203</f>
        <v>0.1117561</v>
      </c>
    </row>
    <row r="232" spans="8:12" x14ac:dyDescent="0.35">
      <c r="H232" s="13">
        <v>8</v>
      </c>
      <c r="I232" s="13" t="s">
        <v>1</v>
      </c>
      <c r="J232" s="13" t="s">
        <v>0</v>
      </c>
      <c r="K232" s="13" t="s">
        <v>63</v>
      </c>
      <c r="L232" s="13">
        <f>AD204</f>
        <v>9.8051600000000003E-2</v>
      </c>
    </row>
    <row r="233" spans="8:12" x14ac:dyDescent="0.35">
      <c r="H233" s="13">
        <v>8</v>
      </c>
      <c r="I233" s="13" t="s">
        <v>1</v>
      </c>
      <c r="J233" s="13" t="s">
        <v>2</v>
      </c>
      <c r="K233" s="13" t="s">
        <v>63</v>
      </c>
      <c r="L233" s="13">
        <f>AD205</f>
        <v>0.1046622</v>
      </c>
    </row>
    <row r="234" spans="8:12" x14ac:dyDescent="0.35">
      <c r="H234" s="13">
        <v>9</v>
      </c>
      <c r="I234" s="13" t="s">
        <v>3</v>
      </c>
      <c r="J234" s="13" t="s">
        <v>0</v>
      </c>
      <c r="K234" s="13" t="s">
        <v>63</v>
      </c>
      <c r="L234" s="13">
        <f>AE202</f>
        <v>0.13399820000000001</v>
      </c>
    </row>
    <row r="235" spans="8:12" x14ac:dyDescent="0.35">
      <c r="H235" s="13">
        <v>9</v>
      </c>
      <c r="I235" s="13" t="s">
        <v>3</v>
      </c>
      <c r="J235" s="13" t="s">
        <v>2</v>
      </c>
      <c r="K235" s="13" t="s">
        <v>63</v>
      </c>
      <c r="L235" s="13">
        <f>AE203</f>
        <v>0.14887310000000001</v>
      </c>
    </row>
    <row r="236" spans="8:12" x14ac:dyDescent="0.35">
      <c r="H236" s="13">
        <v>9</v>
      </c>
      <c r="I236" s="13" t="s">
        <v>1</v>
      </c>
      <c r="J236" s="13" t="s">
        <v>0</v>
      </c>
      <c r="K236" s="13" t="s">
        <v>63</v>
      </c>
      <c r="L236" s="13">
        <f>AE204</f>
        <v>0.11710950000000001</v>
      </c>
    </row>
    <row r="237" spans="8:12" x14ac:dyDescent="0.35">
      <c r="H237" s="13">
        <v>9</v>
      </c>
      <c r="I237" s="13" t="s">
        <v>1</v>
      </c>
      <c r="J237" s="13" t="s">
        <v>2</v>
      </c>
      <c r="K237" s="13" t="s">
        <v>63</v>
      </c>
      <c r="L237" s="13">
        <f>AE205</f>
        <v>0.1575636</v>
      </c>
    </row>
    <row r="238" spans="8:12" x14ac:dyDescent="0.35">
      <c r="H238" s="13">
        <v>10</v>
      </c>
      <c r="I238" s="13" t="s">
        <v>3</v>
      </c>
      <c r="J238" s="13" t="s">
        <v>0</v>
      </c>
      <c r="K238" s="13" t="s">
        <v>63</v>
      </c>
      <c r="L238" s="13">
        <f>AF202</f>
        <v>0.17282230000000001</v>
      </c>
    </row>
    <row r="239" spans="8:12" x14ac:dyDescent="0.35">
      <c r="H239" s="13">
        <v>10</v>
      </c>
      <c r="I239" s="13" t="s">
        <v>3</v>
      </c>
      <c r="J239" s="13" t="s">
        <v>2</v>
      </c>
      <c r="K239" s="13" t="s">
        <v>63</v>
      </c>
      <c r="L239" s="13">
        <f t="shared" ref="L239:L241" si="5">AF203</f>
        <v>0.16820750000000001</v>
      </c>
    </row>
    <row r="240" spans="8:12" x14ac:dyDescent="0.35">
      <c r="H240" s="13">
        <v>10</v>
      </c>
      <c r="I240" s="13" t="s">
        <v>1</v>
      </c>
      <c r="J240" s="13" t="s">
        <v>0</v>
      </c>
      <c r="K240" s="13" t="s">
        <v>63</v>
      </c>
      <c r="L240" s="13">
        <f t="shared" si="5"/>
        <v>0.2366733</v>
      </c>
    </row>
    <row r="241" spans="1:32" x14ac:dyDescent="0.35">
      <c r="H241" s="13">
        <v>10</v>
      </c>
      <c r="I241" s="13" t="s">
        <v>1</v>
      </c>
      <c r="J241" s="13" t="s">
        <v>2</v>
      </c>
      <c r="K241" s="13" t="s">
        <v>63</v>
      </c>
      <c r="L241" s="13">
        <f t="shared" si="5"/>
        <v>0.2057175</v>
      </c>
    </row>
    <row r="242" spans="1:32" x14ac:dyDescent="0.35">
      <c r="A242" t="s">
        <v>14</v>
      </c>
      <c r="D242" t="s">
        <v>42</v>
      </c>
      <c r="E242" t="s">
        <v>5</v>
      </c>
      <c r="F242" t="s">
        <v>41</v>
      </c>
      <c r="G242">
        <v>80</v>
      </c>
      <c r="H242" s="13">
        <v>1</v>
      </c>
      <c r="I242" s="13" t="s">
        <v>3</v>
      </c>
      <c r="J242" s="13" t="s">
        <v>0</v>
      </c>
      <c r="K242" s="13" t="s">
        <v>64</v>
      </c>
      <c r="L242" s="13">
        <f>W242</f>
        <v>0.35741810000000002</v>
      </c>
      <c r="P242" t="str">
        <f>[1]Sheet4!B526</f>
        <v>---------</v>
      </c>
      <c r="Q242" t="str">
        <f>[1]Sheet4!C526</f>
        <v>----------</v>
      </c>
      <c r="R242" t="str">
        <f>[1]Sheet4!D526</f>
        <v>------------</v>
      </c>
      <c r="S242" t="str">
        <f>[1]Sheet4!E526</f>
        <v>----------</v>
      </c>
      <c r="W242">
        <v>0.35741810000000002</v>
      </c>
      <c r="X242">
        <v>0.37714789999999998</v>
      </c>
      <c r="Y242">
        <v>0.40903460000000003</v>
      </c>
      <c r="Z242">
        <v>0.36858819999999998</v>
      </c>
      <c r="AA242">
        <v>0.38691979999999998</v>
      </c>
      <c r="AB242">
        <v>0.39876289999999998</v>
      </c>
      <c r="AC242">
        <v>0.40474120000000002</v>
      </c>
      <c r="AD242">
        <v>0.4469359</v>
      </c>
      <c r="AE242">
        <v>0.50229970000000002</v>
      </c>
      <c r="AF242">
        <v>0.5134708</v>
      </c>
    </row>
    <row r="243" spans="1:32" x14ac:dyDescent="0.35">
      <c r="H243" s="13">
        <v>1</v>
      </c>
      <c r="I243" s="13" t="s">
        <v>3</v>
      </c>
      <c r="J243" s="13" t="s">
        <v>2</v>
      </c>
      <c r="K243" s="13" t="s">
        <v>64</v>
      </c>
      <c r="L243" s="13">
        <f>W243</f>
        <v>0.36368220000000001</v>
      </c>
      <c r="P243" t="str">
        <f>[1]Sheet4!B527</f>
        <v> .0969917</v>
      </c>
      <c r="Q243" t="str">
        <f>[1]Sheet4!C527</f>
        <v>  .1020899</v>
      </c>
      <c r="R243" t="str">
        <f>[1]Sheet4!D527</f>
        <v>     .099015</v>
      </c>
      <c r="S243" t="str">
        <f>[1]Sheet4!E527</f>
        <v>  .0919073</v>
      </c>
      <c r="W243">
        <v>0.36368220000000001</v>
      </c>
      <c r="X243">
        <v>0.38831660000000001</v>
      </c>
      <c r="Y243">
        <v>0.3866155</v>
      </c>
      <c r="Z243">
        <v>0.3671219</v>
      </c>
      <c r="AA243">
        <v>0.38147419999999999</v>
      </c>
      <c r="AB243">
        <v>0.40863919999999998</v>
      </c>
      <c r="AC243">
        <v>0.42692350000000001</v>
      </c>
      <c r="AD243">
        <v>0.45463229999999999</v>
      </c>
      <c r="AE243">
        <v>0.48151850000000002</v>
      </c>
      <c r="AF243">
        <v>0.53538509999999995</v>
      </c>
    </row>
    <row r="244" spans="1:32" x14ac:dyDescent="0.35">
      <c r="H244" s="13">
        <v>1</v>
      </c>
      <c r="I244" s="13" t="s">
        <v>1</v>
      </c>
      <c r="J244" s="13" t="s">
        <v>0</v>
      </c>
      <c r="K244" s="13" t="s">
        <v>64</v>
      </c>
      <c r="L244" s="13">
        <f>W244</f>
        <v>0.3035931</v>
      </c>
      <c r="P244" t="str">
        <f>[1]Sheet4!B528</f>
        <v> .0950106</v>
      </c>
      <c r="Q244" t="str">
        <f>[1]Sheet4!C528</f>
        <v>  .0989594</v>
      </c>
      <c r="R244" t="str">
        <f>[1]Sheet4!D528</f>
        <v>    .0832266</v>
      </c>
      <c r="S244" t="str">
        <f>[1]Sheet4!E528</f>
        <v>  .0812216</v>
      </c>
      <c r="W244">
        <v>0.3035931</v>
      </c>
      <c r="X244">
        <v>0.32119209999999998</v>
      </c>
      <c r="Y244">
        <v>0.3160847</v>
      </c>
      <c r="Z244">
        <v>0.30308849999999998</v>
      </c>
      <c r="AA244">
        <v>0.33368320000000001</v>
      </c>
      <c r="AB244">
        <v>0.35433589999999998</v>
      </c>
      <c r="AC244">
        <v>0.36595080000000002</v>
      </c>
      <c r="AD244">
        <v>0.41322920000000002</v>
      </c>
      <c r="AE244">
        <v>0.49531809999999998</v>
      </c>
      <c r="AF244">
        <v>0.4205779</v>
      </c>
    </row>
    <row r="245" spans="1:32" x14ac:dyDescent="0.35">
      <c r="H245" s="13">
        <v>1</v>
      </c>
      <c r="I245" s="13" t="s">
        <v>1</v>
      </c>
      <c r="J245" s="13" t="s">
        <v>2</v>
      </c>
      <c r="K245" s="13" t="s">
        <v>64</v>
      </c>
      <c r="L245" s="13">
        <f>W245</f>
        <v>0.28473330000000002</v>
      </c>
      <c r="P245" t="str">
        <f>[1]Sheet4!B529</f>
        <v> .1105004</v>
      </c>
      <c r="Q245" t="str">
        <f>[1]Sheet4!C529</f>
        <v>    .10011</v>
      </c>
      <c r="R245" t="str">
        <f>[1]Sheet4!D529</f>
        <v>    .0965158</v>
      </c>
      <c r="S245" t="str">
        <f>[1]Sheet4!E529</f>
        <v>  .0909999</v>
      </c>
      <c r="W245">
        <v>0.28473330000000002</v>
      </c>
      <c r="X245">
        <v>0.31819570000000003</v>
      </c>
      <c r="Y245">
        <v>0.329515</v>
      </c>
      <c r="Z245">
        <v>0.31994830000000002</v>
      </c>
      <c r="AA245">
        <v>0.33767209999999998</v>
      </c>
      <c r="AB245">
        <v>0.3440626</v>
      </c>
      <c r="AC245">
        <v>0.39030559999999997</v>
      </c>
      <c r="AD245">
        <v>0.3960051</v>
      </c>
      <c r="AE245">
        <v>0.48115259999999999</v>
      </c>
      <c r="AF245">
        <v>0.43791790000000003</v>
      </c>
    </row>
    <row r="246" spans="1:32" x14ac:dyDescent="0.35">
      <c r="H246" s="13">
        <v>2</v>
      </c>
      <c r="I246" s="13" t="s">
        <v>3</v>
      </c>
      <c r="J246" s="13" t="s">
        <v>0</v>
      </c>
      <c r="K246" s="13" t="s">
        <v>64</v>
      </c>
      <c r="L246" s="13">
        <f>X242</f>
        <v>0.37714789999999998</v>
      </c>
      <c r="P246" t="str">
        <f>[1]Sheet4!B530</f>
        <v> .1042514</v>
      </c>
      <c r="Q246" t="str">
        <f>[1]Sheet4!C530</f>
        <v>  .1158565</v>
      </c>
      <c r="R246" t="str">
        <f>[1]Sheet4!D530</f>
        <v>    .0878506</v>
      </c>
      <c r="S246" t="str">
        <f>[1]Sheet4!E530</f>
        <v>  .0950184</v>
      </c>
    </row>
    <row r="247" spans="1:32" x14ac:dyDescent="0.35">
      <c r="H247" s="13">
        <v>2</v>
      </c>
      <c r="I247" s="13" t="s">
        <v>3</v>
      </c>
      <c r="J247" s="13" t="s">
        <v>2</v>
      </c>
      <c r="K247" s="13" t="s">
        <v>64</v>
      </c>
      <c r="L247" s="13">
        <f>X243</f>
        <v>0.38831660000000001</v>
      </c>
      <c r="P247" t="str">
        <f>[1]Sheet4!B531</f>
        <v> .0984248</v>
      </c>
      <c r="Q247" t="str">
        <f>[1]Sheet4!C531</f>
        <v>   .094673</v>
      </c>
      <c r="R247" t="str">
        <f>[1]Sheet4!D531</f>
        <v>    .0891979</v>
      </c>
      <c r="S247" t="str">
        <f>[1]Sheet4!E531</f>
        <v>  .0938297</v>
      </c>
    </row>
    <row r="248" spans="1:32" x14ac:dyDescent="0.35">
      <c r="H248" s="13">
        <v>2</v>
      </c>
      <c r="I248" s="13" t="s">
        <v>1</v>
      </c>
      <c r="J248" s="13" t="s">
        <v>0</v>
      </c>
      <c r="K248" s="13" t="s">
        <v>64</v>
      </c>
      <c r="L248" s="13">
        <f>X244</f>
        <v>0.32119209999999998</v>
      </c>
      <c r="P248" t="str">
        <f>[1]Sheet4!B532</f>
        <v>  .093846</v>
      </c>
      <c r="Q248" t="str">
        <f>[1]Sheet4!C532</f>
        <v>  .0840523</v>
      </c>
      <c r="R248" t="str">
        <f>[1]Sheet4!D532</f>
        <v>    .0701593</v>
      </c>
      <c r="S248" t="str">
        <f>[1]Sheet4!E532</f>
        <v>  .0760912</v>
      </c>
    </row>
    <row r="249" spans="1:32" x14ac:dyDescent="0.35">
      <c r="H249" s="13">
        <v>2</v>
      </c>
      <c r="I249" s="13" t="s">
        <v>1</v>
      </c>
      <c r="J249" s="13" t="s">
        <v>2</v>
      </c>
      <c r="K249" s="13" t="s">
        <v>64</v>
      </c>
      <c r="L249" s="13">
        <f>X245</f>
        <v>0.31819570000000003</v>
      </c>
      <c r="P249" t="str">
        <f>[1]Sheet4!B533</f>
        <v> .0933112</v>
      </c>
      <c r="Q249" t="str">
        <f>[1]Sheet4!C533</f>
        <v>  .0834395</v>
      </c>
      <c r="R249" t="str">
        <f>[1]Sheet4!D533</f>
        <v>    .0857422</v>
      </c>
      <c r="S249" t="str">
        <f>[1]Sheet4!E533</f>
        <v>  .0580439</v>
      </c>
    </row>
    <row r="250" spans="1:32" x14ac:dyDescent="0.35">
      <c r="H250" s="13">
        <v>3</v>
      </c>
      <c r="I250" s="13" t="s">
        <v>3</v>
      </c>
      <c r="J250" s="13" t="s">
        <v>0</v>
      </c>
      <c r="K250" s="13" t="s">
        <v>64</v>
      </c>
      <c r="L250" s="13">
        <f>Y242</f>
        <v>0.40903460000000003</v>
      </c>
      <c r="P250" t="str">
        <f>[1]Sheet4!B534</f>
        <v> .0848787</v>
      </c>
      <c r="Q250" t="str">
        <f>[1]Sheet4!C534</f>
        <v>  .0921036</v>
      </c>
      <c r="R250" t="str">
        <f>[1]Sheet4!D534</f>
        <v>    .0567481</v>
      </c>
      <c r="S250" t="str">
        <f>[1]Sheet4!E534</f>
        <v>  .0585493</v>
      </c>
    </row>
    <row r="251" spans="1:32" x14ac:dyDescent="0.35">
      <c r="H251" s="13">
        <v>3</v>
      </c>
      <c r="I251" s="13" t="s">
        <v>3</v>
      </c>
      <c r="J251" s="13" t="s">
        <v>2</v>
      </c>
      <c r="K251" s="13" t="s">
        <v>64</v>
      </c>
      <c r="L251" s="13">
        <f>Y243</f>
        <v>0.3866155</v>
      </c>
      <c r="P251" t="str">
        <f>[1]Sheet4!B535</f>
        <v> .0863219</v>
      </c>
      <c r="Q251" t="str">
        <f>[1]Sheet4!C535</f>
        <v>  .0819185</v>
      </c>
      <c r="R251" t="str">
        <f>[1]Sheet4!D535</f>
        <v>    .0559855</v>
      </c>
      <c r="S251" t="str">
        <f>[1]Sheet4!E535</f>
        <v>  .0610488</v>
      </c>
    </row>
    <row r="252" spans="1:32" x14ac:dyDescent="0.35">
      <c r="H252" s="13">
        <v>3</v>
      </c>
      <c r="I252" s="13" t="s">
        <v>1</v>
      </c>
      <c r="J252" s="13" t="s">
        <v>0</v>
      </c>
      <c r="K252" s="13" t="s">
        <v>64</v>
      </c>
      <c r="L252" s="13">
        <f>Y244</f>
        <v>0.3160847</v>
      </c>
    </row>
    <row r="253" spans="1:32" x14ac:dyDescent="0.35">
      <c r="H253" s="13">
        <v>3</v>
      </c>
      <c r="I253" s="13" t="s">
        <v>1</v>
      </c>
      <c r="J253" s="13" t="s">
        <v>2</v>
      </c>
      <c r="K253" s="13" t="s">
        <v>64</v>
      </c>
      <c r="L253" s="13">
        <f>Y245</f>
        <v>0.329515</v>
      </c>
    </row>
    <row r="254" spans="1:32" x14ac:dyDescent="0.35">
      <c r="H254" s="13">
        <v>4</v>
      </c>
      <c r="I254" s="13" t="s">
        <v>3</v>
      </c>
      <c r="J254" s="13" t="s">
        <v>0</v>
      </c>
      <c r="K254" s="13" t="s">
        <v>64</v>
      </c>
      <c r="L254" s="13">
        <f>Z242</f>
        <v>0.36858819999999998</v>
      </c>
    </row>
    <row r="255" spans="1:32" x14ac:dyDescent="0.35">
      <c r="H255" s="13">
        <v>4</v>
      </c>
      <c r="I255" s="13" t="s">
        <v>3</v>
      </c>
      <c r="J255" s="13" t="s">
        <v>2</v>
      </c>
      <c r="K255" s="13" t="s">
        <v>64</v>
      </c>
      <c r="L255" s="13">
        <f>Z243</f>
        <v>0.3671219</v>
      </c>
    </row>
    <row r="256" spans="1:32" x14ac:dyDescent="0.35">
      <c r="H256" s="13">
        <v>4</v>
      </c>
      <c r="I256" s="13" t="s">
        <v>1</v>
      </c>
      <c r="J256" s="13" t="s">
        <v>0</v>
      </c>
      <c r="K256" s="13" t="s">
        <v>64</v>
      </c>
      <c r="L256" s="13">
        <f>Z244</f>
        <v>0.30308849999999998</v>
      </c>
    </row>
    <row r="257" spans="8:12" x14ac:dyDescent="0.35">
      <c r="H257" s="13">
        <v>4</v>
      </c>
      <c r="I257" s="13" t="s">
        <v>1</v>
      </c>
      <c r="J257" s="13" t="s">
        <v>2</v>
      </c>
      <c r="K257" s="13" t="s">
        <v>64</v>
      </c>
      <c r="L257" s="13">
        <f>Z245</f>
        <v>0.31994830000000002</v>
      </c>
    </row>
    <row r="258" spans="8:12" x14ac:dyDescent="0.35">
      <c r="H258" s="13">
        <v>5</v>
      </c>
      <c r="I258" s="13" t="s">
        <v>3</v>
      </c>
      <c r="J258" s="13" t="s">
        <v>0</v>
      </c>
      <c r="K258" s="13" t="s">
        <v>64</v>
      </c>
      <c r="L258" s="13">
        <f>AA242</f>
        <v>0.38691979999999998</v>
      </c>
    </row>
    <row r="259" spans="8:12" x14ac:dyDescent="0.35">
      <c r="H259" s="13">
        <v>5</v>
      </c>
      <c r="I259" s="13" t="s">
        <v>3</v>
      </c>
      <c r="J259" s="13" t="s">
        <v>2</v>
      </c>
      <c r="K259" s="13" t="s">
        <v>64</v>
      </c>
      <c r="L259" s="13">
        <f>AA243</f>
        <v>0.38147419999999999</v>
      </c>
    </row>
    <row r="260" spans="8:12" x14ac:dyDescent="0.35">
      <c r="H260" s="13">
        <v>5</v>
      </c>
      <c r="I260" s="13" t="s">
        <v>1</v>
      </c>
      <c r="J260" s="13" t="s">
        <v>0</v>
      </c>
      <c r="K260" s="13" t="s">
        <v>64</v>
      </c>
      <c r="L260" s="13">
        <f>AA244</f>
        <v>0.33368320000000001</v>
      </c>
    </row>
    <row r="261" spans="8:12" x14ac:dyDescent="0.35">
      <c r="H261" s="13">
        <v>5</v>
      </c>
      <c r="I261" s="13" t="s">
        <v>1</v>
      </c>
      <c r="J261" s="13" t="s">
        <v>2</v>
      </c>
      <c r="K261" s="13" t="s">
        <v>64</v>
      </c>
      <c r="L261" s="13">
        <f>AA245</f>
        <v>0.33767209999999998</v>
      </c>
    </row>
    <row r="262" spans="8:12" x14ac:dyDescent="0.35">
      <c r="H262" s="13">
        <v>6</v>
      </c>
      <c r="I262" s="13" t="s">
        <v>3</v>
      </c>
      <c r="J262" s="13" t="s">
        <v>0</v>
      </c>
      <c r="K262" s="13" t="s">
        <v>64</v>
      </c>
      <c r="L262" s="13">
        <f>AB242</f>
        <v>0.39876289999999998</v>
      </c>
    </row>
    <row r="263" spans="8:12" x14ac:dyDescent="0.35">
      <c r="H263" s="13">
        <v>6</v>
      </c>
      <c r="I263" s="13" t="s">
        <v>3</v>
      </c>
      <c r="J263" s="13" t="s">
        <v>2</v>
      </c>
      <c r="K263" s="13" t="s">
        <v>64</v>
      </c>
      <c r="L263" s="13">
        <f>AB243</f>
        <v>0.40863919999999998</v>
      </c>
    </row>
    <row r="264" spans="8:12" x14ac:dyDescent="0.35">
      <c r="H264" s="13">
        <v>6</v>
      </c>
      <c r="I264" s="13" t="s">
        <v>1</v>
      </c>
      <c r="J264" s="13" t="s">
        <v>0</v>
      </c>
      <c r="K264" s="13" t="s">
        <v>64</v>
      </c>
      <c r="L264" s="13">
        <f>AB244</f>
        <v>0.35433589999999998</v>
      </c>
    </row>
    <row r="265" spans="8:12" x14ac:dyDescent="0.35">
      <c r="H265" s="13">
        <v>6</v>
      </c>
      <c r="I265" s="13" t="s">
        <v>1</v>
      </c>
      <c r="J265" s="13" t="s">
        <v>2</v>
      </c>
      <c r="K265" s="13" t="s">
        <v>64</v>
      </c>
      <c r="L265" s="13">
        <f>AB245</f>
        <v>0.3440626</v>
      </c>
    </row>
    <row r="266" spans="8:12" x14ac:dyDescent="0.35">
      <c r="H266" s="13">
        <v>7</v>
      </c>
      <c r="I266" s="13" t="s">
        <v>3</v>
      </c>
      <c r="J266" s="13" t="s">
        <v>0</v>
      </c>
      <c r="K266" s="13" t="s">
        <v>64</v>
      </c>
      <c r="L266" s="13">
        <f>AC242</f>
        <v>0.40474120000000002</v>
      </c>
    </row>
    <row r="267" spans="8:12" x14ac:dyDescent="0.35">
      <c r="H267" s="13">
        <v>7</v>
      </c>
      <c r="I267" s="13" t="s">
        <v>3</v>
      </c>
      <c r="J267" s="13" t="s">
        <v>2</v>
      </c>
      <c r="K267" s="13" t="s">
        <v>64</v>
      </c>
      <c r="L267" s="13">
        <f>AC243</f>
        <v>0.42692350000000001</v>
      </c>
    </row>
    <row r="268" spans="8:12" x14ac:dyDescent="0.35">
      <c r="H268" s="13">
        <v>7</v>
      </c>
      <c r="I268" s="13" t="s">
        <v>1</v>
      </c>
      <c r="J268" s="13" t="s">
        <v>0</v>
      </c>
      <c r="K268" s="13" t="s">
        <v>64</v>
      </c>
      <c r="L268" s="13">
        <f>AC244</f>
        <v>0.36595080000000002</v>
      </c>
    </row>
    <row r="269" spans="8:12" x14ac:dyDescent="0.35">
      <c r="H269" s="13">
        <v>7</v>
      </c>
      <c r="I269" s="13" t="s">
        <v>1</v>
      </c>
      <c r="J269" s="13" t="s">
        <v>2</v>
      </c>
      <c r="K269" s="13" t="s">
        <v>64</v>
      </c>
      <c r="L269" s="13">
        <f>AC245</f>
        <v>0.39030559999999997</v>
      </c>
    </row>
    <row r="270" spans="8:12" x14ac:dyDescent="0.35">
      <c r="H270" s="13">
        <v>8</v>
      </c>
      <c r="I270" s="13" t="s">
        <v>3</v>
      </c>
      <c r="J270" s="13" t="s">
        <v>0</v>
      </c>
      <c r="K270" s="13" t="s">
        <v>64</v>
      </c>
      <c r="L270" s="13">
        <f>AD242</f>
        <v>0.4469359</v>
      </c>
    </row>
    <row r="271" spans="8:12" x14ac:dyDescent="0.35">
      <c r="H271" s="13">
        <v>8</v>
      </c>
      <c r="I271" s="13" t="s">
        <v>3</v>
      </c>
      <c r="J271" s="13" t="s">
        <v>2</v>
      </c>
      <c r="K271" s="13" t="s">
        <v>64</v>
      </c>
      <c r="L271" s="13">
        <f>AD243</f>
        <v>0.45463229999999999</v>
      </c>
    </row>
    <row r="272" spans="8:12" x14ac:dyDescent="0.35">
      <c r="H272" s="13">
        <v>8</v>
      </c>
      <c r="I272" s="13" t="s">
        <v>1</v>
      </c>
      <c r="J272" s="13" t="s">
        <v>0</v>
      </c>
      <c r="K272" s="13" t="s">
        <v>64</v>
      </c>
      <c r="L272" s="13">
        <f>AD244</f>
        <v>0.41322920000000002</v>
      </c>
    </row>
    <row r="273" spans="8:32" x14ac:dyDescent="0.35">
      <c r="H273" s="13">
        <v>8</v>
      </c>
      <c r="I273" s="13" t="s">
        <v>1</v>
      </c>
      <c r="J273" s="13" t="s">
        <v>2</v>
      </c>
      <c r="K273" s="13" t="s">
        <v>64</v>
      </c>
      <c r="L273" s="13">
        <f>AD245</f>
        <v>0.3960051</v>
      </c>
    </row>
    <row r="274" spans="8:32" x14ac:dyDescent="0.35">
      <c r="H274" s="13">
        <v>9</v>
      </c>
      <c r="I274" s="13" t="s">
        <v>3</v>
      </c>
      <c r="J274" s="13" t="s">
        <v>0</v>
      </c>
      <c r="K274" s="13" t="s">
        <v>64</v>
      </c>
      <c r="L274" s="13">
        <f>AE242</f>
        <v>0.50229970000000002</v>
      </c>
    </row>
    <row r="275" spans="8:32" x14ac:dyDescent="0.35">
      <c r="H275" s="13">
        <v>9</v>
      </c>
      <c r="I275" s="13" t="s">
        <v>3</v>
      </c>
      <c r="J275" s="13" t="s">
        <v>2</v>
      </c>
      <c r="K275" s="13" t="s">
        <v>64</v>
      </c>
      <c r="L275" s="13">
        <f>AE243</f>
        <v>0.48151850000000002</v>
      </c>
    </row>
    <row r="276" spans="8:32" x14ac:dyDescent="0.35">
      <c r="H276" s="13">
        <v>9</v>
      </c>
      <c r="I276" s="13" t="s">
        <v>1</v>
      </c>
      <c r="J276" s="13" t="s">
        <v>0</v>
      </c>
      <c r="K276" s="13" t="s">
        <v>64</v>
      </c>
      <c r="L276" s="13">
        <f>AE244</f>
        <v>0.49531809999999998</v>
      </c>
    </row>
    <row r="277" spans="8:32" x14ac:dyDescent="0.35">
      <c r="H277" s="13">
        <v>9</v>
      </c>
      <c r="I277" s="13" t="s">
        <v>1</v>
      </c>
      <c r="J277" s="13" t="s">
        <v>2</v>
      </c>
      <c r="K277" s="13" t="s">
        <v>64</v>
      </c>
      <c r="L277" s="13">
        <f>AE245</f>
        <v>0.48115259999999999</v>
      </c>
    </row>
    <row r="278" spans="8:32" x14ac:dyDescent="0.35">
      <c r="H278" s="13">
        <v>10</v>
      </c>
      <c r="I278" s="13" t="s">
        <v>3</v>
      </c>
      <c r="J278" s="13" t="s">
        <v>0</v>
      </c>
      <c r="K278" s="13" t="s">
        <v>64</v>
      </c>
      <c r="L278" s="13">
        <f>AF242</f>
        <v>0.5134708</v>
      </c>
    </row>
    <row r="279" spans="8:32" x14ac:dyDescent="0.35">
      <c r="H279" s="13">
        <v>10</v>
      </c>
      <c r="I279" s="13" t="s">
        <v>3</v>
      </c>
      <c r="J279" s="13" t="s">
        <v>2</v>
      </c>
      <c r="K279" s="13" t="s">
        <v>64</v>
      </c>
      <c r="L279" s="13">
        <f t="shared" ref="L279:L281" si="6">AF243</f>
        <v>0.53538509999999995</v>
      </c>
    </row>
    <row r="280" spans="8:32" x14ac:dyDescent="0.35">
      <c r="H280" s="13">
        <v>10</v>
      </c>
      <c r="I280" s="13" t="s">
        <v>1</v>
      </c>
      <c r="J280" s="13" t="s">
        <v>0</v>
      </c>
      <c r="K280" s="13" t="s">
        <v>64</v>
      </c>
      <c r="L280" s="13">
        <f t="shared" si="6"/>
        <v>0.4205779</v>
      </c>
    </row>
    <row r="281" spans="8:32" x14ac:dyDescent="0.35">
      <c r="H281" s="13">
        <v>10</v>
      </c>
      <c r="I281" s="13" t="s">
        <v>1</v>
      </c>
      <c r="J281" s="13" t="s">
        <v>2</v>
      </c>
      <c r="K281" s="13" t="s">
        <v>64</v>
      </c>
      <c r="L281" s="13">
        <f t="shared" si="6"/>
        <v>0.43791790000000003</v>
      </c>
    </row>
    <row r="282" spans="8:32" x14ac:dyDescent="0.35">
      <c r="H282" s="13">
        <v>1</v>
      </c>
      <c r="I282" s="13" t="s">
        <v>3</v>
      </c>
      <c r="J282" s="13" t="s">
        <v>0</v>
      </c>
      <c r="K282" s="13" t="s">
        <v>63</v>
      </c>
      <c r="L282" s="13">
        <f>W282</f>
        <v>0.35611120000000002</v>
      </c>
      <c r="P282" t="str">
        <f>[1]Sheet4!B545</f>
        <v>---------</v>
      </c>
      <c r="Q282" t="str">
        <f>[1]Sheet4!C545</f>
        <v>----------</v>
      </c>
      <c r="R282" t="str">
        <f>[1]Sheet4!D545</f>
        <v>------------</v>
      </c>
      <c r="S282" t="str">
        <f>[1]Sheet4!E545</f>
        <v>----------</v>
      </c>
      <c r="W282">
        <v>0.35611120000000002</v>
      </c>
      <c r="X282">
        <v>0.36760700000000002</v>
      </c>
      <c r="Y282">
        <v>0.37801099999999999</v>
      </c>
      <c r="Z282">
        <v>0.37809120000000002</v>
      </c>
      <c r="AA282">
        <v>0.38011780000000001</v>
      </c>
      <c r="AB282">
        <v>0.40895140000000002</v>
      </c>
      <c r="AC282">
        <v>0.39682689999999998</v>
      </c>
      <c r="AD282">
        <v>0.43585849999999998</v>
      </c>
      <c r="AE282">
        <v>0.49295280000000002</v>
      </c>
      <c r="AF282">
        <v>0.51250390000000001</v>
      </c>
    </row>
    <row r="283" spans="8:32" x14ac:dyDescent="0.35">
      <c r="H283" s="13">
        <v>1</v>
      </c>
      <c r="I283" s="13" t="s">
        <v>3</v>
      </c>
      <c r="J283" s="13" t="s">
        <v>2</v>
      </c>
      <c r="K283" s="13" t="s">
        <v>63</v>
      </c>
      <c r="L283" s="13">
        <f>W283</f>
        <v>0.360093</v>
      </c>
      <c r="P283" t="str">
        <f>[1]Sheet4!B546</f>
        <v> .3574181</v>
      </c>
      <c r="Q283" t="str">
        <f>[1]Sheet4!C546</f>
        <v>  .3636822</v>
      </c>
      <c r="R283" t="str">
        <f>[1]Sheet4!D546</f>
        <v>    .3035931</v>
      </c>
      <c r="S283" t="str">
        <f>[1]Sheet4!E546</f>
        <v>  .2847333</v>
      </c>
      <c r="W283">
        <v>0.360093</v>
      </c>
      <c r="X283">
        <v>0.39820990000000001</v>
      </c>
      <c r="Y283">
        <v>0.37190800000000002</v>
      </c>
      <c r="Z283">
        <v>0.36865880000000001</v>
      </c>
      <c r="AA283">
        <v>0.374998</v>
      </c>
      <c r="AB283">
        <v>0.40183540000000001</v>
      </c>
      <c r="AC283">
        <v>0.43392399999999998</v>
      </c>
      <c r="AD283">
        <v>0.46011190000000002</v>
      </c>
      <c r="AE283">
        <v>0.49371520000000002</v>
      </c>
      <c r="AF283">
        <v>0.53014220000000001</v>
      </c>
    </row>
    <row r="284" spans="8:32" x14ac:dyDescent="0.35">
      <c r="H284" s="13">
        <v>1</v>
      </c>
      <c r="I284" s="13" t="s">
        <v>1</v>
      </c>
      <c r="J284" s="13" t="s">
        <v>0</v>
      </c>
      <c r="K284" s="13" t="s">
        <v>63</v>
      </c>
      <c r="L284" s="13">
        <f>W284</f>
        <v>0.31456610000000002</v>
      </c>
      <c r="P284" t="str">
        <f>[1]Sheet4!B547</f>
        <v> .3771479</v>
      </c>
      <c r="Q284" t="str">
        <f>[1]Sheet4!C547</f>
        <v>  .3883166</v>
      </c>
      <c r="R284" t="str">
        <f>[1]Sheet4!D547</f>
        <v>    .3211921</v>
      </c>
      <c r="S284" t="str">
        <f>[1]Sheet4!E547</f>
        <v>  .3181957</v>
      </c>
      <c r="W284">
        <v>0.31456610000000002</v>
      </c>
      <c r="X284">
        <v>0.30836160000000001</v>
      </c>
      <c r="Y284">
        <v>0.30323309999999998</v>
      </c>
      <c r="Z284">
        <v>0.30418420000000002</v>
      </c>
      <c r="AA284">
        <v>0.33492369999999999</v>
      </c>
      <c r="AB284">
        <v>0.3445956</v>
      </c>
      <c r="AC284">
        <v>0.36752770000000001</v>
      </c>
      <c r="AD284">
        <v>0.4021884</v>
      </c>
      <c r="AE284">
        <v>0.4897494</v>
      </c>
      <c r="AF284">
        <v>0.44111590000000001</v>
      </c>
    </row>
    <row r="285" spans="8:32" x14ac:dyDescent="0.35">
      <c r="H285" s="13">
        <v>1</v>
      </c>
      <c r="I285" s="13" t="s">
        <v>1</v>
      </c>
      <c r="J285" s="13" t="s">
        <v>2</v>
      </c>
      <c r="K285" s="13" t="s">
        <v>63</v>
      </c>
      <c r="L285" s="13">
        <f>W285</f>
        <v>0.29060190000000002</v>
      </c>
      <c r="P285" t="str">
        <f>[1]Sheet4!B548</f>
        <v> .4090346</v>
      </c>
      <c r="Q285" t="str">
        <f>[1]Sheet4!C548</f>
        <v>  .3866155</v>
      </c>
      <c r="R285" t="str">
        <f>[1]Sheet4!D548</f>
        <v>    .3160847</v>
      </c>
      <c r="S285" t="str">
        <f>[1]Sheet4!E548</f>
        <v>   .329515</v>
      </c>
      <c r="W285">
        <v>0.29060190000000002</v>
      </c>
      <c r="X285">
        <v>0.31409779999999998</v>
      </c>
      <c r="Y285">
        <v>0.31530360000000002</v>
      </c>
      <c r="Z285">
        <v>0.3090657</v>
      </c>
      <c r="AA285">
        <v>0.34061469999999999</v>
      </c>
      <c r="AB285">
        <v>0.34990169999999998</v>
      </c>
      <c r="AC285">
        <v>0.3867216</v>
      </c>
      <c r="AD285">
        <v>0.41176639999999998</v>
      </c>
      <c r="AE285">
        <v>0.52672929999999996</v>
      </c>
      <c r="AF285">
        <v>0.46398200000000001</v>
      </c>
    </row>
    <row r="286" spans="8:32" x14ac:dyDescent="0.35">
      <c r="H286" s="13">
        <v>2</v>
      </c>
      <c r="I286" s="13" t="s">
        <v>3</v>
      </c>
      <c r="J286" s="13" t="s">
        <v>0</v>
      </c>
      <c r="K286" s="13" t="s">
        <v>63</v>
      </c>
      <c r="L286" s="13">
        <f>X282</f>
        <v>0.36760700000000002</v>
      </c>
      <c r="P286" t="str">
        <f>[1]Sheet4!B549</f>
        <v> .3685882</v>
      </c>
      <c r="Q286" t="str">
        <f>[1]Sheet4!C549</f>
        <v>  .3671219</v>
      </c>
      <c r="R286" t="str">
        <f>[1]Sheet4!D549</f>
        <v>    .3030885</v>
      </c>
      <c r="S286" t="str">
        <f>[1]Sheet4!E549</f>
        <v>  .3199483</v>
      </c>
    </row>
    <row r="287" spans="8:32" x14ac:dyDescent="0.35">
      <c r="H287" s="13">
        <v>2</v>
      </c>
      <c r="I287" s="13" t="s">
        <v>3</v>
      </c>
      <c r="J287" s="13" t="s">
        <v>2</v>
      </c>
      <c r="K287" s="13" t="s">
        <v>63</v>
      </c>
      <c r="L287" s="13">
        <f>X283</f>
        <v>0.39820990000000001</v>
      </c>
      <c r="P287" t="str">
        <f>[1]Sheet4!B550</f>
        <v> .3869198</v>
      </c>
      <c r="Q287" t="str">
        <f>[1]Sheet4!C550</f>
        <v>  .3814742</v>
      </c>
      <c r="R287" t="str">
        <f>[1]Sheet4!D550</f>
        <v>    .3336832</v>
      </c>
      <c r="S287" t="str">
        <f>[1]Sheet4!E550</f>
        <v>  .3376721</v>
      </c>
    </row>
    <row r="288" spans="8:32" x14ac:dyDescent="0.35">
      <c r="H288" s="13">
        <v>2</v>
      </c>
      <c r="I288" s="13" t="s">
        <v>1</v>
      </c>
      <c r="J288" s="13" t="s">
        <v>0</v>
      </c>
      <c r="K288" s="13" t="s">
        <v>63</v>
      </c>
      <c r="L288" s="13">
        <f>X284</f>
        <v>0.30836160000000001</v>
      </c>
      <c r="P288" t="str">
        <f>[1]Sheet4!B551</f>
        <v> .3987629</v>
      </c>
      <c r="Q288" t="str">
        <f>[1]Sheet4!C551</f>
        <v>  .4086392</v>
      </c>
      <c r="R288" t="str">
        <f>[1]Sheet4!D551</f>
        <v>    .3543359</v>
      </c>
      <c r="S288" t="str">
        <f>[1]Sheet4!E551</f>
        <v>  .3440626</v>
      </c>
    </row>
    <row r="289" spans="8:19" x14ac:dyDescent="0.35">
      <c r="H289" s="13">
        <v>2</v>
      </c>
      <c r="I289" s="13" t="s">
        <v>1</v>
      </c>
      <c r="J289" s="13" t="s">
        <v>2</v>
      </c>
      <c r="K289" s="13" t="s">
        <v>63</v>
      </c>
      <c r="L289" s="13">
        <f>X285</f>
        <v>0.31409779999999998</v>
      </c>
      <c r="P289" t="str">
        <f>[1]Sheet4!B552</f>
        <v> .4047412</v>
      </c>
      <c r="Q289" t="str">
        <f>[1]Sheet4!C552</f>
        <v>  .4269235</v>
      </c>
      <c r="R289" t="str">
        <f>[1]Sheet4!D552</f>
        <v>    .3659508</v>
      </c>
      <c r="S289" t="str">
        <f>[1]Sheet4!E552</f>
        <v>  .3903056</v>
      </c>
    </row>
    <row r="290" spans="8:19" x14ac:dyDescent="0.35">
      <c r="H290" s="13">
        <v>3</v>
      </c>
      <c r="I290" s="13" t="s">
        <v>3</v>
      </c>
      <c r="J290" s="13" t="s">
        <v>0</v>
      </c>
      <c r="K290" s="13" t="s">
        <v>63</v>
      </c>
      <c r="L290" s="13">
        <f>Y282</f>
        <v>0.37801099999999999</v>
      </c>
      <c r="P290" t="str">
        <f>[1]Sheet4!B553</f>
        <v> .4469359</v>
      </c>
      <c r="Q290" t="str">
        <f>[1]Sheet4!C553</f>
        <v>  .4546323</v>
      </c>
      <c r="R290" t="str">
        <f>[1]Sheet4!D553</f>
        <v>    .4132292</v>
      </c>
      <c r="S290" t="str">
        <f>[1]Sheet4!E553</f>
        <v>  .3960051</v>
      </c>
    </row>
    <row r="291" spans="8:19" x14ac:dyDescent="0.35">
      <c r="H291" s="13">
        <v>3</v>
      </c>
      <c r="I291" s="13" t="s">
        <v>3</v>
      </c>
      <c r="J291" s="13" t="s">
        <v>2</v>
      </c>
      <c r="K291" s="13" t="s">
        <v>63</v>
      </c>
      <c r="L291" s="13">
        <f>Y283</f>
        <v>0.37190800000000002</v>
      </c>
      <c r="P291" t="str">
        <f>[1]Sheet4!B554</f>
        <v> .5022997</v>
      </c>
      <c r="Q291" t="str">
        <f>[1]Sheet4!C554</f>
        <v>  .4815185</v>
      </c>
      <c r="R291" t="str">
        <f>[1]Sheet4!D554</f>
        <v>    .4953181</v>
      </c>
      <c r="S291" t="str">
        <f>[1]Sheet4!E554</f>
        <v>  .4811526</v>
      </c>
    </row>
    <row r="292" spans="8:19" x14ac:dyDescent="0.35">
      <c r="H292" s="13">
        <v>3</v>
      </c>
      <c r="I292" s="13" t="s">
        <v>1</v>
      </c>
      <c r="J292" s="13" t="s">
        <v>0</v>
      </c>
      <c r="K292" s="13" t="s">
        <v>63</v>
      </c>
      <c r="L292" s="13">
        <f>Y284</f>
        <v>0.30323309999999998</v>
      </c>
    </row>
    <row r="293" spans="8:19" x14ac:dyDescent="0.35">
      <c r="H293" s="13">
        <v>3</v>
      </c>
      <c r="I293" s="13" t="s">
        <v>1</v>
      </c>
      <c r="J293" s="13" t="s">
        <v>2</v>
      </c>
      <c r="K293" s="13" t="s">
        <v>63</v>
      </c>
      <c r="L293" s="13">
        <f>Y285</f>
        <v>0.31530360000000002</v>
      </c>
    </row>
    <row r="294" spans="8:19" x14ac:dyDescent="0.35">
      <c r="H294" s="13">
        <v>4</v>
      </c>
      <c r="I294" s="13" t="s">
        <v>3</v>
      </c>
      <c r="J294" s="13" t="s">
        <v>0</v>
      </c>
      <c r="K294" s="13" t="s">
        <v>63</v>
      </c>
      <c r="L294" s="13">
        <f>Z282</f>
        <v>0.37809120000000002</v>
      </c>
    </row>
    <row r="295" spans="8:19" x14ac:dyDescent="0.35">
      <c r="H295" s="13">
        <v>4</v>
      </c>
      <c r="I295" s="13" t="s">
        <v>3</v>
      </c>
      <c r="J295" s="13" t="s">
        <v>2</v>
      </c>
      <c r="K295" s="13" t="s">
        <v>63</v>
      </c>
      <c r="L295" s="13">
        <f>Z283</f>
        <v>0.36865880000000001</v>
      </c>
    </row>
    <row r="296" spans="8:19" x14ac:dyDescent="0.35">
      <c r="H296" s="13">
        <v>4</v>
      </c>
      <c r="I296" s="13" t="s">
        <v>1</v>
      </c>
      <c r="J296" s="13" t="s">
        <v>0</v>
      </c>
      <c r="K296" s="13" t="s">
        <v>63</v>
      </c>
      <c r="L296" s="13">
        <f>Z284</f>
        <v>0.30418420000000002</v>
      </c>
    </row>
    <row r="297" spans="8:19" x14ac:dyDescent="0.35">
      <c r="H297" s="13">
        <v>4</v>
      </c>
      <c r="I297" s="13" t="s">
        <v>1</v>
      </c>
      <c r="J297" s="13" t="s">
        <v>2</v>
      </c>
      <c r="K297" s="13" t="s">
        <v>63</v>
      </c>
      <c r="L297" s="13">
        <f>Z285</f>
        <v>0.3090657</v>
      </c>
    </row>
    <row r="298" spans="8:19" x14ac:dyDescent="0.35">
      <c r="H298" s="13">
        <v>5</v>
      </c>
      <c r="I298" s="13" t="s">
        <v>3</v>
      </c>
      <c r="J298" s="13" t="s">
        <v>0</v>
      </c>
      <c r="K298" s="13" t="s">
        <v>63</v>
      </c>
      <c r="L298" s="13">
        <f>AA282</f>
        <v>0.38011780000000001</v>
      </c>
    </row>
    <row r="299" spans="8:19" x14ac:dyDescent="0.35">
      <c r="H299" s="13">
        <v>5</v>
      </c>
      <c r="I299" s="13" t="s">
        <v>3</v>
      </c>
      <c r="J299" s="13" t="s">
        <v>2</v>
      </c>
      <c r="K299" s="13" t="s">
        <v>63</v>
      </c>
      <c r="L299" s="13">
        <f>AA283</f>
        <v>0.374998</v>
      </c>
    </row>
    <row r="300" spans="8:19" x14ac:dyDescent="0.35">
      <c r="H300" s="13">
        <v>5</v>
      </c>
      <c r="I300" s="13" t="s">
        <v>1</v>
      </c>
      <c r="J300" s="13" t="s">
        <v>0</v>
      </c>
      <c r="K300" s="13" t="s">
        <v>63</v>
      </c>
      <c r="L300" s="13">
        <f>AA284</f>
        <v>0.33492369999999999</v>
      </c>
    </row>
    <row r="301" spans="8:19" x14ac:dyDescent="0.35">
      <c r="H301" s="13">
        <v>5</v>
      </c>
      <c r="I301" s="13" t="s">
        <v>1</v>
      </c>
      <c r="J301" s="13" t="s">
        <v>2</v>
      </c>
      <c r="K301" s="13" t="s">
        <v>63</v>
      </c>
      <c r="L301" s="13">
        <f>AA285</f>
        <v>0.34061469999999999</v>
      </c>
    </row>
    <row r="302" spans="8:19" x14ac:dyDescent="0.35">
      <c r="H302" s="13">
        <v>6</v>
      </c>
      <c r="I302" s="13" t="s">
        <v>3</v>
      </c>
      <c r="J302" s="13" t="s">
        <v>0</v>
      </c>
      <c r="K302" s="13" t="s">
        <v>63</v>
      </c>
      <c r="L302" s="13">
        <f>AB282</f>
        <v>0.40895140000000002</v>
      </c>
    </row>
    <row r="303" spans="8:19" x14ac:dyDescent="0.35">
      <c r="H303" s="13">
        <v>6</v>
      </c>
      <c r="I303" s="13" t="s">
        <v>3</v>
      </c>
      <c r="J303" s="13" t="s">
        <v>2</v>
      </c>
      <c r="K303" s="13" t="s">
        <v>63</v>
      </c>
      <c r="L303" s="13">
        <f>AB283</f>
        <v>0.40183540000000001</v>
      </c>
    </row>
    <row r="304" spans="8:19" x14ac:dyDescent="0.35">
      <c r="H304" s="13">
        <v>6</v>
      </c>
      <c r="I304" s="13" t="s">
        <v>1</v>
      </c>
      <c r="J304" s="13" t="s">
        <v>0</v>
      </c>
      <c r="K304" s="13" t="s">
        <v>63</v>
      </c>
      <c r="L304" s="13">
        <f>AB284</f>
        <v>0.3445956</v>
      </c>
    </row>
    <row r="305" spans="8:12" x14ac:dyDescent="0.35">
      <c r="H305" s="13">
        <v>6</v>
      </c>
      <c r="I305" s="13" t="s">
        <v>1</v>
      </c>
      <c r="J305" s="13" t="s">
        <v>2</v>
      </c>
      <c r="K305" s="13" t="s">
        <v>63</v>
      </c>
      <c r="L305" s="13">
        <f>AB285</f>
        <v>0.34990169999999998</v>
      </c>
    </row>
    <row r="306" spans="8:12" x14ac:dyDescent="0.35">
      <c r="H306" s="13">
        <v>7</v>
      </c>
      <c r="I306" s="13" t="s">
        <v>3</v>
      </c>
      <c r="J306" s="13" t="s">
        <v>0</v>
      </c>
      <c r="K306" s="13" t="s">
        <v>63</v>
      </c>
      <c r="L306" s="13">
        <f>AC282</f>
        <v>0.39682689999999998</v>
      </c>
    </row>
    <row r="307" spans="8:12" x14ac:dyDescent="0.35">
      <c r="H307" s="13">
        <v>7</v>
      </c>
      <c r="I307" s="13" t="s">
        <v>3</v>
      </c>
      <c r="J307" s="13" t="s">
        <v>2</v>
      </c>
      <c r="K307" s="13" t="s">
        <v>63</v>
      </c>
      <c r="L307" s="13">
        <f>AC283</f>
        <v>0.43392399999999998</v>
      </c>
    </row>
    <row r="308" spans="8:12" x14ac:dyDescent="0.35">
      <c r="H308" s="13">
        <v>7</v>
      </c>
      <c r="I308" s="13" t="s">
        <v>1</v>
      </c>
      <c r="J308" s="13" t="s">
        <v>0</v>
      </c>
      <c r="K308" s="13" t="s">
        <v>63</v>
      </c>
      <c r="L308" s="13">
        <f>AC284</f>
        <v>0.36752770000000001</v>
      </c>
    </row>
    <row r="309" spans="8:12" x14ac:dyDescent="0.35">
      <c r="H309" s="13">
        <v>7</v>
      </c>
      <c r="I309" s="13" t="s">
        <v>1</v>
      </c>
      <c r="J309" s="13" t="s">
        <v>2</v>
      </c>
      <c r="K309" s="13" t="s">
        <v>63</v>
      </c>
      <c r="L309" s="13">
        <f>AC285</f>
        <v>0.3867216</v>
      </c>
    </row>
    <row r="310" spans="8:12" x14ac:dyDescent="0.35">
      <c r="H310" s="13">
        <v>8</v>
      </c>
      <c r="I310" s="13" t="s">
        <v>3</v>
      </c>
      <c r="J310" s="13" t="s">
        <v>0</v>
      </c>
      <c r="K310" s="13" t="s">
        <v>63</v>
      </c>
      <c r="L310" s="13">
        <f>AD282</f>
        <v>0.43585849999999998</v>
      </c>
    </row>
    <row r="311" spans="8:12" x14ac:dyDescent="0.35">
      <c r="H311" s="13">
        <v>8</v>
      </c>
      <c r="I311" s="13" t="s">
        <v>3</v>
      </c>
      <c r="J311" s="13" t="s">
        <v>2</v>
      </c>
      <c r="K311" s="13" t="s">
        <v>63</v>
      </c>
      <c r="L311" s="13">
        <f>AD283</f>
        <v>0.46011190000000002</v>
      </c>
    </row>
    <row r="312" spans="8:12" x14ac:dyDescent="0.35">
      <c r="H312" s="13">
        <v>8</v>
      </c>
      <c r="I312" s="13" t="s">
        <v>1</v>
      </c>
      <c r="J312" s="13" t="s">
        <v>0</v>
      </c>
      <c r="K312" s="13" t="s">
        <v>63</v>
      </c>
      <c r="L312" s="13">
        <f>AD284</f>
        <v>0.4021884</v>
      </c>
    </row>
    <row r="313" spans="8:12" x14ac:dyDescent="0.35">
      <c r="H313" s="13">
        <v>8</v>
      </c>
      <c r="I313" s="13" t="s">
        <v>1</v>
      </c>
      <c r="J313" s="13" t="s">
        <v>2</v>
      </c>
      <c r="K313" s="13" t="s">
        <v>63</v>
      </c>
      <c r="L313" s="13">
        <f>AD285</f>
        <v>0.41176639999999998</v>
      </c>
    </row>
    <row r="314" spans="8:12" x14ac:dyDescent="0.35">
      <c r="H314" s="13">
        <v>9</v>
      </c>
      <c r="I314" s="13" t="s">
        <v>3</v>
      </c>
      <c r="J314" s="13" t="s">
        <v>0</v>
      </c>
      <c r="K314" s="13" t="s">
        <v>63</v>
      </c>
      <c r="L314" s="13">
        <f>AE282</f>
        <v>0.49295280000000002</v>
      </c>
    </row>
    <row r="315" spans="8:12" x14ac:dyDescent="0.35">
      <c r="H315" s="13">
        <v>9</v>
      </c>
      <c r="I315" s="13" t="s">
        <v>3</v>
      </c>
      <c r="J315" s="13" t="s">
        <v>2</v>
      </c>
      <c r="K315" s="13" t="s">
        <v>63</v>
      </c>
      <c r="L315" s="13">
        <f>AE283</f>
        <v>0.49371520000000002</v>
      </c>
    </row>
    <row r="316" spans="8:12" x14ac:dyDescent="0.35">
      <c r="H316" s="13">
        <v>9</v>
      </c>
      <c r="I316" s="13" t="s">
        <v>1</v>
      </c>
      <c r="J316" s="13" t="s">
        <v>0</v>
      </c>
      <c r="K316" s="13" t="s">
        <v>63</v>
      </c>
      <c r="L316" s="13">
        <f>AE284</f>
        <v>0.4897494</v>
      </c>
    </row>
    <row r="317" spans="8:12" x14ac:dyDescent="0.35">
      <c r="H317" s="13">
        <v>9</v>
      </c>
      <c r="I317" s="13" t="s">
        <v>1</v>
      </c>
      <c r="J317" s="13" t="s">
        <v>2</v>
      </c>
      <c r="K317" s="13" t="s">
        <v>63</v>
      </c>
      <c r="L317" s="13">
        <f>AE285</f>
        <v>0.52672929999999996</v>
      </c>
    </row>
    <row r="318" spans="8:12" x14ac:dyDescent="0.35">
      <c r="H318" s="13">
        <v>10</v>
      </c>
      <c r="I318" s="13" t="s">
        <v>3</v>
      </c>
      <c r="J318" s="13" t="s">
        <v>0</v>
      </c>
      <c r="K318" s="13" t="s">
        <v>63</v>
      </c>
      <c r="L318" s="13">
        <f>AF282</f>
        <v>0.51250390000000001</v>
      </c>
    </row>
    <row r="319" spans="8:12" x14ac:dyDescent="0.35">
      <c r="H319" s="13">
        <v>10</v>
      </c>
      <c r="I319" s="13" t="s">
        <v>3</v>
      </c>
      <c r="J319" s="13" t="s">
        <v>2</v>
      </c>
      <c r="K319" s="13" t="s">
        <v>63</v>
      </c>
      <c r="L319" s="13">
        <f t="shared" ref="L319:L321" si="7">AF283</f>
        <v>0.53014220000000001</v>
      </c>
    </row>
    <row r="320" spans="8:12" x14ac:dyDescent="0.35">
      <c r="H320" s="13">
        <v>10</v>
      </c>
      <c r="I320" s="13" t="s">
        <v>1</v>
      </c>
      <c r="J320" s="13" t="s">
        <v>0</v>
      </c>
      <c r="K320" s="13" t="s">
        <v>63</v>
      </c>
      <c r="L320" s="13">
        <f t="shared" si="7"/>
        <v>0.44111590000000001</v>
      </c>
    </row>
    <row r="321" spans="1:32" x14ac:dyDescent="0.35">
      <c r="H321" s="13">
        <v>10</v>
      </c>
      <c r="I321" s="13" t="s">
        <v>1</v>
      </c>
      <c r="J321" s="13" t="s">
        <v>2</v>
      </c>
      <c r="K321" s="13" t="s">
        <v>63</v>
      </c>
      <c r="L321" s="13">
        <f t="shared" si="7"/>
        <v>0.46398200000000001</v>
      </c>
      <c r="P321" t="s">
        <v>59</v>
      </c>
      <c r="Q321" t="s">
        <v>60</v>
      </c>
      <c r="R321" t="s">
        <v>61</v>
      </c>
      <c r="S321" t="s">
        <v>62</v>
      </c>
      <c r="W321">
        <v>1</v>
      </c>
      <c r="X321">
        <v>2</v>
      </c>
      <c r="Y321">
        <v>3</v>
      </c>
      <c r="Z321">
        <v>4</v>
      </c>
      <c r="AA321">
        <v>5</v>
      </c>
      <c r="AB321">
        <v>6</v>
      </c>
      <c r="AC321">
        <v>7</v>
      </c>
      <c r="AD321">
        <v>8</v>
      </c>
      <c r="AE321">
        <v>9</v>
      </c>
      <c r="AF321">
        <v>10</v>
      </c>
    </row>
    <row r="322" spans="1:32" x14ac:dyDescent="0.35">
      <c r="A322" s="3" t="s">
        <v>14</v>
      </c>
      <c r="D322" t="s">
        <v>40</v>
      </c>
      <c r="E322" t="s">
        <v>5</v>
      </c>
      <c r="F322" s="6" t="s">
        <v>65</v>
      </c>
      <c r="G322">
        <v>40</v>
      </c>
      <c r="H322" s="13">
        <v>1</v>
      </c>
      <c r="I322" s="13" t="s">
        <v>3</v>
      </c>
      <c r="J322" s="13" t="s">
        <v>0</v>
      </c>
      <c r="L322" s="13">
        <f>W322</f>
        <v>0.26399309999999998</v>
      </c>
      <c r="P322" t="str">
        <f>[1]Sheet4!B28</f>
        <v> .2639931</v>
      </c>
      <c r="Q322" t="str">
        <f>[1]Sheet4!C28</f>
        <v>   .093416</v>
      </c>
      <c r="R322" t="str">
        <f>[1]Sheet4!D28</f>
        <v>    .1543874</v>
      </c>
      <c r="S322" t="str">
        <f>[1]Sheet4!E28</f>
        <v>  .1202607</v>
      </c>
      <c r="V322" t="s">
        <v>59</v>
      </c>
      <c r="W322">
        <v>0.26399309999999998</v>
      </c>
      <c r="X322">
        <v>0.39260980000000001</v>
      </c>
      <c r="Y322">
        <v>0.38352950000000002</v>
      </c>
      <c r="Z322">
        <v>0.46407340000000002</v>
      </c>
      <c r="AA322">
        <v>0.56588090000000002</v>
      </c>
      <c r="AB322">
        <v>0.79265620000000003</v>
      </c>
      <c r="AC322">
        <v>0.83934850000000005</v>
      </c>
      <c r="AD322">
        <v>0.86926780000000003</v>
      </c>
      <c r="AE322">
        <v>0.84083949999999996</v>
      </c>
      <c r="AF322">
        <v>0.80370680000000005</v>
      </c>
    </row>
    <row r="323" spans="1:32" x14ac:dyDescent="0.35">
      <c r="H323" s="13">
        <v>1</v>
      </c>
      <c r="I323" s="13" t="s">
        <v>3</v>
      </c>
      <c r="J323" s="13" t="s">
        <v>2</v>
      </c>
      <c r="L323" s="13">
        <f>W323</f>
        <v>9.3415999999999999E-2</v>
      </c>
      <c r="P323" t="str">
        <f>[1]Sheet4!B29</f>
        <v> .3926098</v>
      </c>
      <c r="Q323" t="str">
        <f>[1]Sheet4!C29</f>
        <v>  .2924803</v>
      </c>
      <c r="R323" t="str">
        <f>[1]Sheet4!D29</f>
        <v>    .2124822</v>
      </c>
      <c r="S323" t="str">
        <f>[1]Sheet4!E29</f>
        <v>  .1626257</v>
      </c>
      <c r="V323" t="s">
        <v>60</v>
      </c>
      <c r="W323">
        <v>9.3415999999999999E-2</v>
      </c>
      <c r="X323">
        <v>0.29248030000000003</v>
      </c>
      <c r="Y323">
        <v>0.31911970000000001</v>
      </c>
      <c r="Z323">
        <v>0.45637369999999999</v>
      </c>
      <c r="AA323">
        <v>0.6086994</v>
      </c>
      <c r="AB323">
        <v>0.69119160000000002</v>
      </c>
      <c r="AC323">
        <v>0.75777139999999998</v>
      </c>
      <c r="AD323">
        <v>0.74207089999999998</v>
      </c>
      <c r="AE323">
        <v>0.79719530000000005</v>
      </c>
      <c r="AF323">
        <v>0.69217090000000003</v>
      </c>
    </row>
    <row r="324" spans="1:32" x14ac:dyDescent="0.35">
      <c r="H324" s="13">
        <v>1</v>
      </c>
      <c r="I324" s="13" t="s">
        <v>1</v>
      </c>
      <c r="J324" s="13" t="s">
        <v>0</v>
      </c>
      <c r="L324" s="13">
        <f>W324</f>
        <v>0.15438740000000001</v>
      </c>
      <c r="P324" t="str">
        <f>[1]Sheet4!B30</f>
        <v> .3835295</v>
      </c>
      <c r="Q324" t="str">
        <f>[1]Sheet4!C30</f>
        <v>  .3191197</v>
      </c>
      <c r="R324" t="str">
        <f>[1]Sheet4!D30</f>
        <v>    .3029905</v>
      </c>
      <c r="S324" t="str">
        <f>[1]Sheet4!E30</f>
        <v>  .2537808</v>
      </c>
      <c r="V324" t="s">
        <v>61</v>
      </c>
      <c r="W324">
        <v>0.15438740000000001</v>
      </c>
      <c r="X324">
        <v>0.21248220000000001</v>
      </c>
      <c r="Y324">
        <v>0.3029905</v>
      </c>
      <c r="Z324">
        <v>0.43297140000000001</v>
      </c>
      <c r="AA324">
        <v>0.61685009999999996</v>
      </c>
      <c r="AB324">
        <v>0.78456780000000004</v>
      </c>
      <c r="AC324">
        <v>0.86296859999999997</v>
      </c>
      <c r="AD324">
        <v>0.90291880000000002</v>
      </c>
      <c r="AE324">
        <v>0.92930570000000001</v>
      </c>
      <c r="AF324">
        <v>0.97958520000000004</v>
      </c>
    </row>
    <row r="325" spans="1:32" x14ac:dyDescent="0.35">
      <c r="H325" s="13">
        <v>1</v>
      </c>
      <c r="I325" s="13" t="s">
        <v>1</v>
      </c>
      <c r="J325" s="13" t="s">
        <v>2</v>
      </c>
      <c r="L325" s="13">
        <f>W325</f>
        <v>0.1202607</v>
      </c>
      <c r="P325" t="str">
        <f>[1]Sheet4!B31</f>
        <v> .4640734</v>
      </c>
      <c r="Q325" t="str">
        <f>[1]Sheet4!C31</f>
        <v>  .4563737</v>
      </c>
      <c r="R325" t="str">
        <f>[1]Sheet4!D31</f>
        <v>    .4329714</v>
      </c>
      <c r="S325" t="str">
        <f>[1]Sheet4!E31</f>
        <v>  .3309099</v>
      </c>
      <c r="V325" t="s">
        <v>62</v>
      </c>
      <c r="W325">
        <v>0.1202607</v>
      </c>
      <c r="X325">
        <v>0.16262570000000001</v>
      </c>
      <c r="Y325">
        <v>0.25378079999999997</v>
      </c>
      <c r="Z325">
        <v>0.33090989999999998</v>
      </c>
      <c r="AA325">
        <v>0.52116720000000005</v>
      </c>
      <c r="AB325">
        <v>0.62291350000000001</v>
      </c>
      <c r="AC325">
        <v>0.79381069999999998</v>
      </c>
      <c r="AD325">
        <v>0.83196809999999999</v>
      </c>
      <c r="AE325">
        <v>0.92163989999999996</v>
      </c>
      <c r="AF325">
        <v>0.86208149999999995</v>
      </c>
    </row>
    <row r="326" spans="1:32" x14ac:dyDescent="0.35">
      <c r="H326" s="13">
        <v>2</v>
      </c>
      <c r="I326" s="13" t="s">
        <v>3</v>
      </c>
      <c r="J326" s="13" t="s">
        <v>0</v>
      </c>
      <c r="L326" s="13">
        <f>X322</f>
        <v>0.39260980000000001</v>
      </c>
      <c r="P326" t="str">
        <f>[1]Sheet4!B32</f>
        <v> .5658809</v>
      </c>
      <c r="Q326" t="str">
        <f>[1]Sheet4!C32</f>
        <v>  .6086994</v>
      </c>
      <c r="R326" t="str">
        <f>[1]Sheet4!D32</f>
        <v>    .6168501</v>
      </c>
      <c r="S326" t="str">
        <f>[1]Sheet4!E32</f>
        <v>  .5211672</v>
      </c>
    </row>
    <row r="327" spans="1:32" x14ac:dyDescent="0.35">
      <c r="H327" s="13">
        <v>2</v>
      </c>
      <c r="I327" s="13" t="s">
        <v>3</v>
      </c>
      <c r="J327" s="13" t="s">
        <v>2</v>
      </c>
      <c r="L327" s="13">
        <f>X323</f>
        <v>0.29248030000000003</v>
      </c>
      <c r="P327" t="str">
        <f>[1]Sheet4!B33</f>
        <v> .7926562</v>
      </c>
      <c r="Q327" t="str">
        <f>[1]Sheet4!C33</f>
        <v>  .6911916</v>
      </c>
      <c r="R327" t="str">
        <f>[1]Sheet4!D33</f>
        <v>    .7845678</v>
      </c>
      <c r="S327" t="str">
        <f>[1]Sheet4!E33</f>
        <v>  .6229135</v>
      </c>
    </row>
    <row r="328" spans="1:32" x14ac:dyDescent="0.35">
      <c r="H328" s="13">
        <v>2</v>
      </c>
      <c r="I328" s="13" t="s">
        <v>1</v>
      </c>
      <c r="J328" s="13" t="s">
        <v>0</v>
      </c>
      <c r="L328" s="13">
        <f>X324</f>
        <v>0.21248220000000001</v>
      </c>
      <c r="P328" t="str">
        <f>[1]Sheet4!B34</f>
        <v> .8393485</v>
      </c>
      <c r="Q328" t="str">
        <f>[1]Sheet4!C34</f>
        <v>  .7577714</v>
      </c>
      <c r="R328" t="str">
        <f>[1]Sheet4!D34</f>
        <v>    .8629686</v>
      </c>
      <c r="S328" t="str">
        <f>[1]Sheet4!E34</f>
        <v>  .7938107</v>
      </c>
    </row>
    <row r="329" spans="1:32" x14ac:dyDescent="0.35">
      <c r="H329" s="13">
        <v>2</v>
      </c>
      <c r="I329" s="13" t="s">
        <v>1</v>
      </c>
      <c r="J329" s="13" t="s">
        <v>2</v>
      </c>
      <c r="L329" s="13">
        <f>X325</f>
        <v>0.16262570000000001</v>
      </c>
      <c r="P329" t="str">
        <f>[1]Sheet4!B35</f>
        <v> .8692678</v>
      </c>
      <c r="Q329" t="str">
        <f>[1]Sheet4!C35</f>
        <v>  .7420709</v>
      </c>
      <c r="R329" t="str">
        <f>[1]Sheet4!D35</f>
        <v>    .9029188</v>
      </c>
      <c r="S329" t="str">
        <f>[1]Sheet4!E35</f>
        <v>  .8319681</v>
      </c>
    </row>
    <row r="330" spans="1:32" x14ac:dyDescent="0.35">
      <c r="H330" s="13">
        <v>3</v>
      </c>
      <c r="I330" s="13" t="s">
        <v>3</v>
      </c>
      <c r="J330" s="13" t="s">
        <v>0</v>
      </c>
      <c r="L330" s="13">
        <f>Y322</f>
        <v>0.38352950000000002</v>
      </c>
      <c r="P330" t="str">
        <f>[1]Sheet4!B36</f>
        <v> .8408395</v>
      </c>
      <c r="Q330" t="str">
        <f>[1]Sheet4!C36</f>
        <v>  .7971953</v>
      </c>
      <c r="R330" t="str">
        <f>[1]Sheet4!D36</f>
        <v>    .9293057</v>
      </c>
      <c r="S330" t="str">
        <f>[1]Sheet4!E36</f>
        <v>  .9216399</v>
      </c>
    </row>
    <row r="331" spans="1:32" x14ac:dyDescent="0.35">
      <c r="H331" s="13">
        <v>3</v>
      </c>
      <c r="I331" s="13" t="s">
        <v>3</v>
      </c>
      <c r="J331" s="13" t="s">
        <v>2</v>
      </c>
      <c r="L331" s="13">
        <f>Y323</f>
        <v>0.31911970000000001</v>
      </c>
      <c r="P331" t="str">
        <f>[1]Sheet4!B37</f>
        <v> .8037068</v>
      </c>
      <c r="Q331" t="str">
        <f>[1]Sheet4!C37</f>
        <v>  .6921709</v>
      </c>
      <c r="R331" t="str">
        <f>[1]Sheet4!D37</f>
        <v>    .9795852</v>
      </c>
      <c r="S331" t="str">
        <f>[1]Sheet4!E37</f>
        <v>  .8620815</v>
      </c>
    </row>
    <row r="332" spans="1:32" x14ac:dyDescent="0.35">
      <c r="H332" s="13">
        <v>3</v>
      </c>
      <c r="I332" s="13" t="s">
        <v>1</v>
      </c>
      <c r="J332" s="13" t="s">
        <v>0</v>
      </c>
      <c r="L332" s="13">
        <f>Y324</f>
        <v>0.3029905</v>
      </c>
    </row>
    <row r="333" spans="1:32" x14ac:dyDescent="0.35">
      <c r="H333" s="13">
        <v>3</v>
      </c>
      <c r="I333" s="13" t="s">
        <v>1</v>
      </c>
      <c r="J333" s="13" t="s">
        <v>2</v>
      </c>
      <c r="L333" s="13">
        <f>Y325</f>
        <v>0.25378079999999997</v>
      </c>
    </row>
    <row r="334" spans="1:32" x14ac:dyDescent="0.35">
      <c r="H334" s="13">
        <v>4</v>
      </c>
      <c r="I334" s="13" t="s">
        <v>3</v>
      </c>
      <c r="J334" s="13" t="s">
        <v>0</v>
      </c>
      <c r="L334" s="13">
        <f>Z322</f>
        <v>0.46407340000000002</v>
      </c>
    </row>
    <row r="335" spans="1:32" x14ac:dyDescent="0.35">
      <c r="H335" s="13">
        <v>4</v>
      </c>
      <c r="I335" s="13" t="s">
        <v>3</v>
      </c>
      <c r="J335" s="13" t="s">
        <v>2</v>
      </c>
      <c r="L335" s="13">
        <f>Z323</f>
        <v>0.45637369999999999</v>
      </c>
    </row>
    <row r="336" spans="1:32" x14ac:dyDescent="0.35">
      <c r="H336" s="13">
        <v>4</v>
      </c>
      <c r="I336" s="13" t="s">
        <v>1</v>
      </c>
      <c r="J336" s="13" t="s">
        <v>0</v>
      </c>
      <c r="L336" s="13">
        <f>Z324</f>
        <v>0.43297140000000001</v>
      </c>
    </row>
    <row r="337" spans="8:12" x14ac:dyDescent="0.35">
      <c r="H337" s="13">
        <v>4</v>
      </c>
      <c r="I337" s="13" t="s">
        <v>1</v>
      </c>
      <c r="J337" s="13" t="s">
        <v>2</v>
      </c>
      <c r="L337" s="13">
        <f>Z325</f>
        <v>0.33090989999999998</v>
      </c>
    </row>
    <row r="338" spans="8:12" x14ac:dyDescent="0.35">
      <c r="H338" s="13">
        <v>5</v>
      </c>
      <c r="I338" s="13" t="s">
        <v>3</v>
      </c>
      <c r="J338" s="13" t="s">
        <v>0</v>
      </c>
      <c r="L338" s="13">
        <f>AA322</f>
        <v>0.56588090000000002</v>
      </c>
    </row>
    <row r="339" spans="8:12" x14ac:dyDescent="0.35">
      <c r="H339" s="13">
        <v>5</v>
      </c>
      <c r="I339" s="13" t="s">
        <v>3</v>
      </c>
      <c r="J339" s="13" t="s">
        <v>2</v>
      </c>
      <c r="L339" s="13">
        <f>AA323</f>
        <v>0.6086994</v>
      </c>
    </row>
    <row r="340" spans="8:12" x14ac:dyDescent="0.35">
      <c r="H340" s="13">
        <v>5</v>
      </c>
      <c r="I340" s="13" t="s">
        <v>1</v>
      </c>
      <c r="J340" s="13" t="s">
        <v>0</v>
      </c>
      <c r="L340" s="13">
        <f>AA324</f>
        <v>0.61685009999999996</v>
      </c>
    </row>
    <row r="341" spans="8:12" x14ac:dyDescent="0.35">
      <c r="H341" s="13">
        <v>5</v>
      </c>
      <c r="I341" s="13" t="s">
        <v>1</v>
      </c>
      <c r="J341" s="13" t="s">
        <v>2</v>
      </c>
      <c r="L341" s="13">
        <f>AA325</f>
        <v>0.52116720000000005</v>
      </c>
    </row>
    <row r="342" spans="8:12" x14ac:dyDescent="0.35">
      <c r="H342" s="13">
        <v>6</v>
      </c>
      <c r="I342" s="13" t="s">
        <v>3</v>
      </c>
      <c r="J342" s="13" t="s">
        <v>0</v>
      </c>
      <c r="L342" s="13">
        <f>AB322</f>
        <v>0.79265620000000003</v>
      </c>
    </row>
    <row r="343" spans="8:12" x14ac:dyDescent="0.35">
      <c r="H343" s="13">
        <v>6</v>
      </c>
      <c r="I343" s="13" t="s">
        <v>3</v>
      </c>
      <c r="J343" s="13" t="s">
        <v>2</v>
      </c>
      <c r="L343" s="13">
        <f>AB323</f>
        <v>0.69119160000000002</v>
      </c>
    </row>
    <row r="344" spans="8:12" x14ac:dyDescent="0.35">
      <c r="H344" s="13">
        <v>6</v>
      </c>
      <c r="I344" s="13" t="s">
        <v>1</v>
      </c>
      <c r="J344" s="13" t="s">
        <v>0</v>
      </c>
      <c r="L344" s="13">
        <f>AB324</f>
        <v>0.78456780000000004</v>
      </c>
    </row>
    <row r="345" spans="8:12" x14ac:dyDescent="0.35">
      <c r="H345" s="13">
        <v>6</v>
      </c>
      <c r="I345" s="13" t="s">
        <v>1</v>
      </c>
      <c r="J345" s="13" t="s">
        <v>2</v>
      </c>
      <c r="L345" s="13">
        <f>AB325</f>
        <v>0.62291350000000001</v>
      </c>
    </row>
    <row r="346" spans="8:12" x14ac:dyDescent="0.35">
      <c r="H346" s="13">
        <v>7</v>
      </c>
      <c r="I346" s="13" t="s">
        <v>3</v>
      </c>
      <c r="J346" s="13" t="s">
        <v>0</v>
      </c>
      <c r="L346" s="13">
        <f>AC322</f>
        <v>0.83934850000000005</v>
      </c>
    </row>
    <row r="347" spans="8:12" x14ac:dyDescent="0.35">
      <c r="H347" s="13">
        <v>7</v>
      </c>
      <c r="I347" s="13" t="s">
        <v>3</v>
      </c>
      <c r="J347" s="13" t="s">
        <v>2</v>
      </c>
      <c r="L347" s="13">
        <f>AC323</f>
        <v>0.75777139999999998</v>
      </c>
    </row>
    <row r="348" spans="8:12" x14ac:dyDescent="0.35">
      <c r="H348" s="13">
        <v>7</v>
      </c>
      <c r="I348" s="13" t="s">
        <v>1</v>
      </c>
      <c r="J348" s="13" t="s">
        <v>0</v>
      </c>
      <c r="L348" s="13">
        <f>AC324</f>
        <v>0.86296859999999997</v>
      </c>
    </row>
    <row r="349" spans="8:12" x14ac:dyDescent="0.35">
      <c r="H349" s="13">
        <v>7</v>
      </c>
      <c r="I349" s="13" t="s">
        <v>1</v>
      </c>
      <c r="J349" s="13" t="s">
        <v>2</v>
      </c>
      <c r="L349" s="13">
        <f>AC325</f>
        <v>0.79381069999999998</v>
      </c>
    </row>
    <row r="350" spans="8:12" x14ac:dyDescent="0.35">
      <c r="H350" s="13">
        <v>8</v>
      </c>
      <c r="I350" s="13" t="s">
        <v>3</v>
      </c>
      <c r="J350" s="13" t="s">
        <v>0</v>
      </c>
      <c r="L350" s="13">
        <f>AD322</f>
        <v>0.86926780000000003</v>
      </c>
    </row>
    <row r="351" spans="8:12" x14ac:dyDescent="0.35">
      <c r="H351" s="13">
        <v>8</v>
      </c>
      <c r="I351" s="13" t="s">
        <v>3</v>
      </c>
      <c r="J351" s="13" t="s">
        <v>2</v>
      </c>
      <c r="L351" s="13">
        <f>AD323</f>
        <v>0.74207089999999998</v>
      </c>
    </row>
    <row r="352" spans="8:12" x14ac:dyDescent="0.35">
      <c r="H352" s="13">
        <v>8</v>
      </c>
      <c r="I352" s="13" t="s">
        <v>1</v>
      </c>
      <c r="J352" s="13" t="s">
        <v>0</v>
      </c>
      <c r="L352" s="13">
        <f>AD324</f>
        <v>0.90291880000000002</v>
      </c>
    </row>
    <row r="353" spans="1:32" x14ac:dyDescent="0.35">
      <c r="H353" s="13">
        <v>8</v>
      </c>
      <c r="I353" s="13" t="s">
        <v>1</v>
      </c>
      <c r="J353" s="13" t="s">
        <v>2</v>
      </c>
      <c r="L353" s="13">
        <f>AD325</f>
        <v>0.83196809999999999</v>
      </c>
    </row>
    <row r="354" spans="1:32" x14ac:dyDescent="0.35">
      <c r="H354" s="13">
        <v>9</v>
      </c>
      <c r="I354" s="13" t="s">
        <v>3</v>
      </c>
      <c r="J354" s="13" t="s">
        <v>0</v>
      </c>
      <c r="L354" s="13">
        <f>AE322</f>
        <v>0.84083949999999996</v>
      </c>
    </row>
    <row r="355" spans="1:32" x14ac:dyDescent="0.35">
      <c r="H355" s="13">
        <v>9</v>
      </c>
      <c r="I355" s="13" t="s">
        <v>3</v>
      </c>
      <c r="J355" s="13" t="s">
        <v>2</v>
      </c>
      <c r="L355" s="13">
        <f>AE323</f>
        <v>0.79719530000000005</v>
      </c>
    </row>
    <row r="356" spans="1:32" x14ac:dyDescent="0.35">
      <c r="H356" s="13">
        <v>9</v>
      </c>
      <c r="I356" s="13" t="s">
        <v>1</v>
      </c>
      <c r="J356" s="13" t="s">
        <v>0</v>
      </c>
      <c r="L356" s="13">
        <f>AE324</f>
        <v>0.92930570000000001</v>
      </c>
    </row>
    <row r="357" spans="1:32" x14ac:dyDescent="0.35">
      <c r="H357" s="13">
        <v>9</v>
      </c>
      <c r="I357" s="13" t="s">
        <v>1</v>
      </c>
      <c r="J357" s="13" t="s">
        <v>2</v>
      </c>
      <c r="L357" s="13">
        <f>AE325</f>
        <v>0.92163989999999996</v>
      </c>
    </row>
    <row r="358" spans="1:32" x14ac:dyDescent="0.35">
      <c r="H358" s="13">
        <v>10</v>
      </c>
      <c r="I358" s="13" t="s">
        <v>3</v>
      </c>
      <c r="J358" s="13" t="s">
        <v>0</v>
      </c>
      <c r="L358" s="13">
        <f>AF322</f>
        <v>0.80370680000000005</v>
      </c>
    </row>
    <row r="359" spans="1:32" x14ac:dyDescent="0.35">
      <c r="H359" s="13">
        <v>10</v>
      </c>
      <c r="I359" s="13" t="s">
        <v>3</v>
      </c>
      <c r="J359" s="13" t="s">
        <v>2</v>
      </c>
      <c r="L359" s="13">
        <f t="shared" ref="L359:L361" si="8">AF323</f>
        <v>0.69217090000000003</v>
      </c>
    </row>
    <row r="360" spans="1:32" x14ac:dyDescent="0.35">
      <c r="H360" s="13">
        <v>10</v>
      </c>
      <c r="I360" s="13" t="s">
        <v>1</v>
      </c>
      <c r="J360" s="13" t="s">
        <v>0</v>
      </c>
      <c r="L360" s="13">
        <f t="shared" si="8"/>
        <v>0.97958520000000004</v>
      </c>
    </row>
    <row r="361" spans="1:32" x14ac:dyDescent="0.35">
      <c r="H361" s="13">
        <v>10</v>
      </c>
      <c r="I361" s="13" t="s">
        <v>1</v>
      </c>
      <c r="J361" s="13" t="s">
        <v>2</v>
      </c>
      <c r="L361" s="13">
        <f t="shared" si="8"/>
        <v>0.86208149999999995</v>
      </c>
    </row>
    <row r="362" spans="1:32" x14ac:dyDescent="0.35">
      <c r="A362" t="s">
        <v>14</v>
      </c>
      <c r="D362" t="s">
        <v>39</v>
      </c>
      <c r="E362" t="s">
        <v>5</v>
      </c>
      <c r="F362" s="6" t="s">
        <v>65</v>
      </c>
      <c r="G362">
        <v>40</v>
      </c>
      <c r="H362" s="13">
        <v>1</v>
      </c>
      <c r="I362" s="13" t="s">
        <v>3</v>
      </c>
      <c r="J362" s="13" t="s">
        <v>0</v>
      </c>
      <c r="L362" s="13">
        <f>W362</f>
        <v>2.4251000000000002E-2</v>
      </c>
      <c r="O362">
        <v>1</v>
      </c>
      <c r="P362" t="str">
        <f>[1]Sheet4!B47</f>
        <v>  .024251</v>
      </c>
      <c r="Q362" t="str">
        <f>[1]Sheet4!C47</f>
        <v>  .0018678</v>
      </c>
      <c r="R362" t="str">
        <f>[1]Sheet4!D47</f>
        <v>    .0072079</v>
      </c>
      <c r="S362" t="str">
        <f>[1]Sheet4!E47</f>
        <v>         0</v>
      </c>
      <c r="W362">
        <v>2.4251000000000002E-2</v>
      </c>
      <c r="X362">
        <v>1.8810899999999998E-2</v>
      </c>
      <c r="Y362">
        <v>2.00707E-2</v>
      </c>
      <c r="Z362">
        <v>4.7949100000000001E-2</v>
      </c>
      <c r="AA362">
        <v>4.3478700000000002E-2</v>
      </c>
      <c r="AB362">
        <v>9.6238000000000001E-3</v>
      </c>
      <c r="AC362">
        <v>1.1723600000000001E-2</v>
      </c>
      <c r="AD362">
        <v>6.6572999999999997E-3</v>
      </c>
      <c r="AE362">
        <v>1.2255800000000001E-2</v>
      </c>
      <c r="AF362">
        <v>1.47329E-2</v>
      </c>
    </row>
    <row r="363" spans="1:32" x14ac:dyDescent="0.35">
      <c r="H363" s="13">
        <v>1</v>
      </c>
      <c r="I363" s="13" t="s">
        <v>3</v>
      </c>
      <c r="J363" s="13" t="s">
        <v>2</v>
      </c>
      <c r="L363" s="13">
        <f>W363</f>
        <v>1.8678E-3</v>
      </c>
      <c r="O363">
        <v>2</v>
      </c>
      <c r="P363" t="str">
        <f>[1]Sheet4!B48</f>
        <v> .0188109</v>
      </c>
      <c r="Q363" t="str">
        <f>[1]Sheet4!C48</f>
        <v>  .0059979</v>
      </c>
      <c r="R363" t="str">
        <f>[1]Sheet4!D48</f>
        <v>           0</v>
      </c>
      <c r="S363" t="str">
        <f>[1]Sheet4!E48</f>
        <v>         0</v>
      </c>
      <c r="W363">
        <v>1.8678E-3</v>
      </c>
      <c r="X363">
        <v>5.9978999999999996E-3</v>
      </c>
      <c r="Y363">
        <v>1.1566E-2</v>
      </c>
      <c r="Z363">
        <v>1.71685E-2</v>
      </c>
      <c r="AA363">
        <v>1.9335999999999999E-2</v>
      </c>
      <c r="AB363">
        <v>1.43687E-2</v>
      </c>
      <c r="AC363">
        <v>1.18634E-2</v>
      </c>
      <c r="AD363">
        <v>2.35573E-2</v>
      </c>
      <c r="AE363">
        <v>2.5312299999999999E-2</v>
      </c>
      <c r="AF363">
        <v>1.7309000000000001E-2</v>
      </c>
    </row>
    <row r="364" spans="1:32" x14ac:dyDescent="0.35">
      <c r="H364" s="13">
        <v>1</v>
      </c>
      <c r="I364" s="13" t="s">
        <v>1</v>
      </c>
      <c r="J364" s="13" t="s">
        <v>0</v>
      </c>
      <c r="L364" s="13">
        <f>W364</f>
        <v>7.2078999999999997E-3</v>
      </c>
      <c r="O364">
        <v>3</v>
      </c>
      <c r="P364" t="str">
        <f>[1]Sheet4!B49</f>
        <v> .0200707</v>
      </c>
      <c r="Q364" t="str">
        <f>[1]Sheet4!C49</f>
        <v>   .011566</v>
      </c>
      <c r="R364" t="str">
        <f>[1]Sheet4!D49</f>
        <v>    .0028926</v>
      </c>
      <c r="S364" t="str">
        <f>[1]Sheet4!E49</f>
        <v>  .0028658</v>
      </c>
      <c r="W364">
        <v>7.2078999999999997E-3</v>
      </c>
      <c r="X364">
        <v>0</v>
      </c>
      <c r="Y364">
        <v>2.8925999999999999E-3</v>
      </c>
      <c r="Z364">
        <v>4.4799999999999998E-5</v>
      </c>
      <c r="AA364">
        <v>1.1188699999999999E-2</v>
      </c>
      <c r="AB364">
        <v>1.7650999999999999E-3</v>
      </c>
      <c r="AC364">
        <v>4.8196999999999997E-3</v>
      </c>
      <c r="AD364">
        <v>7.3106000000000004E-3</v>
      </c>
      <c r="AE364">
        <v>7.048E-4</v>
      </c>
      <c r="AF364">
        <v>6.2094999999999997E-3</v>
      </c>
    </row>
    <row r="365" spans="1:32" x14ac:dyDescent="0.35">
      <c r="H365" s="13">
        <v>1</v>
      </c>
      <c r="I365" s="13" t="s">
        <v>1</v>
      </c>
      <c r="J365" s="13" t="s">
        <v>2</v>
      </c>
      <c r="L365" s="13">
        <f>W365</f>
        <v>0</v>
      </c>
      <c r="O365">
        <v>4</v>
      </c>
      <c r="P365" t="str">
        <f>[1]Sheet4!B50</f>
        <v> .0479491</v>
      </c>
      <c r="Q365" t="str">
        <f>[1]Sheet4!C50</f>
        <v>  .0171685</v>
      </c>
      <c r="R365" t="str">
        <f>[1]Sheet4!D50</f>
        <v>    .0000448</v>
      </c>
      <c r="S365" t="str">
        <f>[1]Sheet4!E50</f>
        <v>  .0000691</v>
      </c>
      <c r="W365">
        <v>0</v>
      </c>
      <c r="X365">
        <v>0</v>
      </c>
      <c r="Y365">
        <v>2.8657999999999999E-3</v>
      </c>
      <c r="Z365">
        <v>6.9099999999999999E-5</v>
      </c>
      <c r="AA365">
        <v>7.9801000000000004E-3</v>
      </c>
      <c r="AB365">
        <v>5.0289999999999996E-3</v>
      </c>
      <c r="AC365">
        <v>7.6780000000000001E-4</v>
      </c>
      <c r="AD365">
        <v>1.37105E-2</v>
      </c>
      <c r="AE365">
        <v>9.2203000000000007E-3</v>
      </c>
      <c r="AF365">
        <v>7.7618000000000001E-3</v>
      </c>
    </row>
    <row r="366" spans="1:32" x14ac:dyDescent="0.35">
      <c r="H366" s="13">
        <v>2</v>
      </c>
      <c r="I366" s="13" t="s">
        <v>3</v>
      </c>
      <c r="J366" s="13" t="s">
        <v>0</v>
      </c>
      <c r="L366" s="13">
        <f>X362</f>
        <v>1.8810899999999998E-2</v>
      </c>
      <c r="O366">
        <v>5</v>
      </c>
      <c r="P366" t="str">
        <f>[1]Sheet4!B51</f>
        <v> .0434787</v>
      </c>
      <c r="Q366" t="str">
        <f>[1]Sheet4!C51</f>
        <v>   .019336</v>
      </c>
      <c r="R366" t="str">
        <f>[1]Sheet4!D51</f>
        <v>    .0111887</v>
      </c>
      <c r="S366" t="str">
        <f>[1]Sheet4!E51</f>
        <v>  .0079801</v>
      </c>
    </row>
    <row r="367" spans="1:32" x14ac:dyDescent="0.35">
      <c r="H367" s="13">
        <v>2</v>
      </c>
      <c r="I367" s="13" t="s">
        <v>3</v>
      </c>
      <c r="J367" s="13" t="s">
        <v>2</v>
      </c>
      <c r="L367" s="13">
        <f>X363</f>
        <v>5.9978999999999996E-3</v>
      </c>
      <c r="O367">
        <v>6</v>
      </c>
      <c r="P367" t="str">
        <f>[1]Sheet4!B52</f>
        <v> .0096238</v>
      </c>
      <c r="Q367" t="str">
        <f>[1]Sheet4!C52</f>
        <v>  .0143687</v>
      </c>
      <c r="R367" t="str">
        <f>[1]Sheet4!D52</f>
        <v>    .0017651</v>
      </c>
      <c r="S367" t="str">
        <f>[1]Sheet4!E52</f>
        <v>   .005029</v>
      </c>
    </row>
    <row r="368" spans="1:32" x14ac:dyDescent="0.35">
      <c r="H368" s="13">
        <v>2</v>
      </c>
      <c r="I368" s="13" t="s">
        <v>1</v>
      </c>
      <c r="J368" s="13" t="s">
        <v>0</v>
      </c>
      <c r="L368" s="13">
        <f>X364</f>
        <v>0</v>
      </c>
      <c r="O368">
        <v>7</v>
      </c>
      <c r="P368" t="str">
        <f>[1]Sheet4!B53</f>
        <v> .0117236</v>
      </c>
      <c r="Q368" t="str">
        <f>[1]Sheet4!C53</f>
        <v>  .0118634</v>
      </c>
      <c r="R368" t="str">
        <f>[1]Sheet4!D53</f>
        <v>    .0048197</v>
      </c>
      <c r="S368" t="str">
        <f>[1]Sheet4!E53</f>
        <v>  .0007678</v>
      </c>
    </row>
    <row r="369" spans="8:19" x14ac:dyDescent="0.35">
      <c r="H369" s="13">
        <v>2</v>
      </c>
      <c r="I369" s="13" t="s">
        <v>1</v>
      </c>
      <c r="J369" s="13" t="s">
        <v>2</v>
      </c>
      <c r="L369" s="13">
        <f>X365</f>
        <v>0</v>
      </c>
      <c r="O369">
        <v>8</v>
      </c>
      <c r="P369" t="str">
        <f>[1]Sheet4!B54</f>
        <v> .0066573</v>
      </c>
      <c r="Q369" t="str">
        <f>[1]Sheet4!C54</f>
        <v>  .0235573</v>
      </c>
      <c r="R369" t="str">
        <f>[1]Sheet4!D54</f>
        <v>    .0073106</v>
      </c>
      <c r="S369" t="str">
        <f>[1]Sheet4!E54</f>
        <v>  .0137105</v>
      </c>
    </row>
    <row r="370" spans="8:19" x14ac:dyDescent="0.35">
      <c r="H370" s="13">
        <v>3</v>
      </c>
      <c r="I370" s="13" t="s">
        <v>3</v>
      </c>
      <c r="J370" s="13" t="s">
        <v>0</v>
      </c>
      <c r="L370" s="13">
        <f>Y362</f>
        <v>2.00707E-2</v>
      </c>
      <c r="O370">
        <v>9</v>
      </c>
      <c r="P370" t="str">
        <f>[1]Sheet4!B55</f>
        <v> .0122558</v>
      </c>
      <c r="Q370" t="str">
        <f>[1]Sheet4!C55</f>
        <v>  .0253123</v>
      </c>
      <c r="R370" t="str">
        <f>[1]Sheet4!D55</f>
        <v>    .0007048</v>
      </c>
      <c r="S370" t="str">
        <f>[1]Sheet4!E55</f>
        <v>  .0092203</v>
      </c>
    </row>
    <row r="371" spans="8:19" x14ac:dyDescent="0.35">
      <c r="H371" s="13">
        <v>3</v>
      </c>
      <c r="I371" s="13" t="s">
        <v>3</v>
      </c>
      <c r="J371" s="13" t="s">
        <v>2</v>
      </c>
      <c r="L371" s="13">
        <f>Y363</f>
        <v>1.1566E-2</v>
      </c>
      <c r="O371">
        <v>10</v>
      </c>
      <c r="P371" t="str">
        <f>[1]Sheet4!B56</f>
        <v> .0147329</v>
      </c>
      <c r="Q371" t="str">
        <f>[1]Sheet4!C56</f>
        <v>   .017309</v>
      </c>
      <c r="R371" t="str">
        <f>[1]Sheet4!D56</f>
        <v>    .0062095</v>
      </c>
      <c r="S371" t="str">
        <f>[1]Sheet4!E56</f>
        <v>  .0077618</v>
      </c>
    </row>
    <row r="372" spans="8:19" x14ac:dyDescent="0.35">
      <c r="H372" s="13">
        <v>3</v>
      </c>
      <c r="I372" s="13" t="s">
        <v>1</v>
      </c>
      <c r="J372" s="13" t="s">
        <v>0</v>
      </c>
      <c r="L372" s="13">
        <f>Y364</f>
        <v>2.8925999999999999E-3</v>
      </c>
    </row>
    <row r="373" spans="8:19" x14ac:dyDescent="0.35">
      <c r="H373" s="13">
        <v>3</v>
      </c>
      <c r="I373" s="13" t="s">
        <v>1</v>
      </c>
      <c r="J373" s="13" t="s">
        <v>2</v>
      </c>
      <c r="L373" s="13">
        <f>Y365</f>
        <v>2.8657999999999999E-3</v>
      </c>
    </row>
    <row r="374" spans="8:19" x14ac:dyDescent="0.35">
      <c r="H374" s="13">
        <v>4</v>
      </c>
      <c r="I374" s="13" t="s">
        <v>3</v>
      </c>
      <c r="J374" s="13" t="s">
        <v>0</v>
      </c>
      <c r="L374" s="13">
        <f>Z362</f>
        <v>4.7949100000000001E-2</v>
      </c>
    </row>
    <row r="375" spans="8:19" x14ac:dyDescent="0.35">
      <c r="H375" s="13">
        <v>4</v>
      </c>
      <c r="I375" s="13" t="s">
        <v>3</v>
      </c>
      <c r="J375" s="13" t="s">
        <v>2</v>
      </c>
      <c r="L375" s="13">
        <f>Z363</f>
        <v>1.71685E-2</v>
      </c>
    </row>
    <row r="376" spans="8:19" x14ac:dyDescent="0.35">
      <c r="H376" s="13">
        <v>4</v>
      </c>
      <c r="I376" s="13" t="s">
        <v>1</v>
      </c>
      <c r="J376" s="13" t="s">
        <v>0</v>
      </c>
      <c r="L376" s="13">
        <f>Z364</f>
        <v>4.4799999999999998E-5</v>
      </c>
    </row>
    <row r="377" spans="8:19" x14ac:dyDescent="0.35">
      <c r="H377" s="13">
        <v>4</v>
      </c>
      <c r="I377" s="13" t="s">
        <v>1</v>
      </c>
      <c r="J377" s="13" t="s">
        <v>2</v>
      </c>
      <c r="L377" s="13">
        <f>Z365</f>
        <v>6.9099999999999999E-5</v>
      </c>
    </row>
    <row r="378" spans="8:19" x14ac:dyDescent="0.35">
      <c r="H378" s="13">
        <v>5</v>
      </c>
      <c r="I378" s="13" t="s">
        <v>3</v>
      </c>
      <c r="J378" s="13" t="s">
        <v>0</v>
      </c>
      <c r="L378" s="13">
        <f>AA362</f>
        <v>4.3478700000000002E-2</v>
      </c>
    </row>
    <row r="379" spans="8:19" x14ac:dyDescent="0.35">
      <c r="H379" s="13">
        <v>5</v>
      </c>
      <c r="I379" s="13" t="s">
        <v>3</v>
      </c>
      <c r="J379" s="13" t="s">
        <v>2</v>
      </c>
      <c r="L379" s="13">
        <f>AA363</f>
        <v>1.9335999999999999E-2</v>
      </c>
    </row>
    <row r="380" spans="8:19" x14ac:dyDescent="0.35">
      <c r="H380" s="13">
        <v>5</v>
      </c>
      <c r="I380" s="13" t="s">
        <v>1</v>
      </c>
      <c r="J380" s="13" t="s">
        <v>0</v>
      </c>
      <c r="L380" s="13">
        <f>AA364</f>
        <v>1.1188699999999999E-2</v>
      </c>
    </row>
    <row r="381" spans="8:19" x14ac:dyDescent="0.35">
      <c r="H381" s="13">
        <v>5</v>
      </c>
      <c r="I381" s="13" t="s">
        <v>1</v>
      </c>
      <c r="J381" s="13" t="s">
        <v>2</v>
      </c>
      <c r="L381" s="13">
        <f>AA365</f>
        <v>7.9801000000000004E-3</v>
      </c>
    </row>
    <row r="382" spans="8:19" x14ac:dyDescent="0.35">
      <c r="H382" s="13">
        <v>6</v>
      </c>
      <c r="I382" s="13" t="s">
        <v>3</v>
      </c>
      <c r="J382" s="13" t="s">
        <v>0</v>
      </c>
      <c r="L382" s="13">
        <f>AB362</f>
        <v>9.6238000000000001E-3</v>
      </c>
    </row>
    <row r="383" spans="8:19" x14ac:dyDescent="0.35">
      <c r="H383" s="13">
        <v>6</v>
      </c>
      <c r="I383" s="13" t="s">
        <v>3</v>
      </c>
      <c r="J383" s="13" t="s">
        <v>2</v>
      </c>
      <c r="L383" s="13">
        <f>AB363</f>
        <v>1.43687E-2</v>
      </c>
    </row>
    <row r="384" spans="8:19" x14ac:dyDescent="0.35">
      <c r="H384" s="13">
        <v>6</v>
      </c>
      <c r="I384" s="13" t="s">
        <v>1</v>
      </c>
      <c r="J384" s="13" t="s">
        <v>0</v>
      </c>
      <c r="L384" s="13">
        <f>AB364</f>
        <v>1.7650999999999999E-3</v>
      </c>
    </row>
    <row r="385" spans="8:12" x14ac:dyDescent="0.35">
      <c r="H385" s="13">
        <v>6</v>
      </c>
      <c r="I385" s="13" t="s">
        <v>1</v>
      </c>
      <c r="J385" s="13" t="s">
        <v>2</v>
      </c>
      <c r="L385" s="13">
        <f>AB365</f>
        <v>5.0289999999999996E-3</v>
      </c>
    </row>
    <row r="386" spans="8:12" x14ac:dyDescent="0.35">
      <c r="H386" s="13">
        <v>7</v>
      </c>
      <c r="I386" s="13" t="s">
        <v>3</v>
      </c>
      <c r="J386" s="13" t="s">
        <v>0</v>
      </c>
      <c r="L386" s="13">
        <f>AC362</f>
        <v>1.1723600000000001E-2</v>
      </c>
    </row>
    <row r="387" spans="8:12" x14ac:dyDescent="0.35">
      <c r="H387" s="13">
        <v>7</v>
      </c>
      <c r="I387" s="13" t="s">
        <v>3</v>
      </c>
      <c r="J387" s="13" t="s">
        <v>2</v>
      </c>
      <c r="L387" s="13">
        <f>AC363</f>
        <v>1.18634E-2</v>
      </c>
    </row>
    <row r="388" spans="8:12" x14ac:dyDescent="0.35">
      <c r="H388" s="13">
        <v>7</v>
      </c>
      <c r="I388" s="13" t="s">
        <v>1</v>
      </c>
      <c r="J388" s="13" t="s">
        <v>0</v>
      </c>
      <c r="L388" s="13">
        <f>AC364</f>
        <v>4.8196999999999997E-3</v>
      </c>
    </row>
    <row r="389" spans="8:12" x14ac:dyDescent="0.35">
      <c r="H389" s="13">
        <v>7</v>
      </c>
      <c r="I389" s="13" t="s">
        <v>1</v>
      </c>
      <c r="J389" s="13" t="s">
        <v>2</v>
      </c>
      <c r="L389" s="13">
        <f>AC365</f>
        <v>7.6780000000000001E-4</v>
      </c>
    </row>
    <row r="390" spans="8:12" x14ac:dyDescent="0.35">
      <c r="H390" s="13">
        <v>8</v>
      </c>
      <c r="I390" s="13" t="s">
        <v>3</v>
      </c>
      <c r="J390" s="13" t="s">
        <v>0</v>
      </c>
      <c r="L390" s="13">
        <f>AD362</f>
        <v>6.6572999999999997E-3</v>
      </c>
    </row>
    <row r="391" spans="8:12" x14ac:dyDescent="0.35">
      <c r="H391" s="13">
        <v>8</v>
      </c>
      <c r="I391" s="13" t="s">
        <v>3</v>
      </c>
      <c r="J391" s="13" t="s">
        <v>2</v>
      </c>
      <c r="L391" s="13">
        <f>AD363</f>
        <v>2.35573E-2</v>
      </c>
    </row>
    <row r="392" spans="8:12" x14ac:dyDescent="0.35">
      <c r="H392" s="13">
        <v>8</v>
      </c>
      <c r="I392" s="13" t="s">
        <v>1</v>
      </c>
      <c r="J392" s="13" t="s">
        <v>0</v>
      </c>
      <c r="L392" s="13">
        <f>AD364</f>
        <v>7.3106000000000004E-3</v>
      </c>
    </row>
    <row r="393" spans="8:12" x14ac:dyDescent="0.35">
      <c r="H393" s="13">
        <v>8</v>
      </c>
      <c r="I393" s="13" t="s">
        <v>1</v>
      </c>
      <c r="J393" s="13" t="s">
        <v>2</v>
      </c>
      <c r="L393" s="13">
        <f>AD365</f>
        <v>1.37105E-2</v>
      </c>
    </row>
    <row r="394" spans="8:12" x14ac:dyDescent="0.35">
      <c r="H394" s="13">
        <v>9</v>
      </c>
      <c r="I394" s="13" t="s">
        <v>3</v>
      </c>
      <c r="J394" s="13" t="s">
        <v>0</v>
      </c>
      <c r="L394" s="13">
        <f>AE362</f>
        <v>1.2255800000000001E-2</v>
      </c>
    </row>
    <row r="395" spans="8:12" x14ac:dyDescent="0.35">
      <c r="H395" s="13">
        <v>9</v>
      </c>
      <c r="I395" s="13" t="s">
        <v>3</v>
      </c>
      <c r="J395" s="13" t="s">
        <v>2</v>
      </c>
      <c r="L395" s="13">
        <f>AE363</f>
        <v>2.5312299999999999E-2</v>
      </c>
    </row>
    <row r="396" spans="8:12" x14ac:dyDescent="0.35">
      <c r="H396" s="13">
        <v>9</v>
      </c>
      <c r="I396" s="13" t="s">
        <v>1</v>
      </c>
      <c r="J396" s="13" t="s">
        <v>0</v>
      </c>
      <c r="L396" s="13">
        <f>AE364</f>
        <v>7.048E-4</v>
      </c>
    </row>
    <row r="397" spans="8:12" x14ac:dyDescent="0.35">
      <c r="H397" s="13">
        <v>9</v>
      </c>
      <c r="I397" s="13" t="s">
        <v>1</v>
      </c>
      <c r="J397" s="13" t="s">
        <v>2</v>
      </c>
      <c r="L397" s="13">
        <f>AE365</f>
        <v>9.2203000000000007E-3</v>
      </c>
    </row>
    <row r="398" spans="8:12" x14ac:dyDescent="0.35">
      <c r="H398" s="13">
        <v>10</v>
      </c>
      <c r="I398" s="13" t="s">
        <v>3</v>
      </c>
      <c r="J398" s="13" t="s">
        <v>0</v>
      </c>
      <c r="L398" s="13">
        <f>AF362</f>
        <v>1.47329E-2</v>
      </c>
    </row>
    <row r="399" spans="8:12" x14ac:dyDescent="0.35">
      <c r="H399" s="13">
        <v>10</v>
      </c>
      <c r="I399" s="13" t="s">
        <v>3</v>
      </c>
      <c r="J399" s="13" t="s">
        <v>2</v>
      </c>
      <c r="L399" s="13">
        <f t="shared" ref="L399:L401" si="9">AF363</f>
        <v>1.7309000000000001E-2</v>
      </c>
    </row>
    <row r="400" spans="8:12" x14ac:dyDescent="0.35">
      <c r="H400" s="13">
        <v>10</v>
      </c>
      <c r="I400" s="13" t="s">
        <v>1</v>
      </c>
      <c r="J400" s="13" t="s">
        <v>0</v>
      </c>
      <c r="L400" s="13">
        <f t="shared" si="9"/>
        <v>6.2094999999999997E-3</v>
      </c>
    </row>
    <row r="401" spans="1:32" x14ac:dyDescent="0.35">
      <c r="H401" s="13">
        <v>10</v>
      </c>
      <c r="I401" s="13" t="s">
        <v>1</v>
      </c>
      <c r="J401" s="13" t="s">
        <v>2</v>
      </c>
      <c r="L401" s="13">
        <f t="shared" si="9"/>
        <v>7.7618000000000001E-3</v>
      </c>
    </row>
    <row r="402" spans="1:32" x14ac:dyDescent="0.35">
      <c r="A402" t="s">
        <v>14</v>
      </c>
      <c r="D402" t="s">
        <v>38</v>
      </c>
      <c r="E402" t="s">
        <v>5</v>
      </c>
      <c r="F402" s="6" t="s">
        <v>65</v>
      </c>
      <c r="G402">
        <v>40</v>
      </c>
      <c r="H402" s="13">
        <v>1</v>
      </c>
      <c r="I402" s="13" t="s">
        <v>3</v>
      </c>
      <c r="J402" s="13" t="s">
        <v>0</v>
      </c>
      <c r="L402" s="13">
        <f>W402</f>
        <v>0.71175580000000005</v>
      </c>
      <c r="O402">
        <v>1</v>
      </c>
      <c r="P402" t="str">
        <f>[1]Sheet4!B9</f>
        <v> .7117558</v>
      </c>
      <c r="Q402" t="str">
        <f>[1]Sheet4!C9</f>
        <v>  .9047161</v>
      </c>
      <c r="R402" t="str">
        <f>[1]Sheet4!D9</f>
        <v>    .8384047</v>
      </c>
      <c r="S402" t="str">
        <f>[1]Sheet4!E9</f>
        <v>  .8797392</v>
      </c>
      <c r="W402">
        <v>0.71175580000000005</v>
      </c>
      <c r="X402">
        <v>0.58857930000000003</v>
      </c>
      <c r="Y402">
        <v>0.59639980000000004</v>
      </c>
      <c r="Z402">
        <v>0.48797750000000001</v>
      </c>
      <c r="AA402">
        <v>0.3906404</v>
      </c>
      <c r="AB402">
        <v>0.19772010000000001</v>
      </c>
      <c r="AC402">
        <v>0.148928</v>
      </c>
      <c r="AD402">
        <v>0.124075</v>
      </c>
      <c r="AE402">
        <v>0.1469048</v>
      </c>
      <c r="AF402">
        <v>0.18156030000000001</v>
      </c>
    </row>
    <row r="403" spans="1:32" x14ac:dyDescent="0.35">
      <c r="H403" s="13">
        <v>1</v>
      </c>
      <c r="I403" s="13" t="s">
        <v>3</v>
      </c>
      <c r="J403" s="13" t="s">
        <v>2</v>
      </c>
      <c r="L403" s="13">
        <f>W403</f>
        <v>0.90471610000000002</v>
      </c>
      <c r="O403">
        <v>2</v>
      </c>
      <c r="P403" t="str">
        <f>[1]Sheet4!B10</f>
        <v> .5885793</v>
      </c>
      <c r="Q403" t="str">
        <f>[1]Sheet4!C10</f>
        <v>  .7015218</v>
      </c>
      <c r="R403" t="str">
        <f>[1]Sheet4!D10</f>
        <v>    .7875177</v>
      </c>
      <c r="S403" t="str">
        <f>[1]Sheet4!E10</f>
        <v>  .8373743</v>
      </c>
      <c r="W403">
        <v>0.90471610000000002</v>
      </c>
      <c r="X403">
        <v>0.70152179999999997</v>
      </c>
      <c r="Y403">
        <v>0.66931419999999997</v>
      </c>
      <c r="Z403">
        <v>0.52645779999999998</v>
      </c>
      <c r="AA403">
        <v>0.37196469999999998</v>
      </c>
      <c r="AB403">
        <v>0.29443970000000003</v>
      </c>
      <c r="AC403">
        <v>0.23036509999999999</v>
      </c>
      <c r="AD403">
        <v>0.23437179999999999</v>
      </c>
      <c r="AE403">
        <v>0.1774925</v>
      </c>
      <c r="AF403">
        <v>0.29052</v>
      </c>
    </row>
    <row r="404" spans="1:32" x14ac:dyDescent="0.35">
      <c r="H404" s="13">
        <v>1</v>
      </c>
      <c r="I404" s="13" t="s">
        <v>1</v>
      </c>
      <c r="J404" s="13" t="s">
        <v>0</v>
      </c>
      <c r="L404" s="13">
        <f>W404</f>
        <v>0.8384047</v>
      </c>
      <c r="O404">
        <v>3</v>
      </c>
      <c r="P404" t="str">
        <f>[1]Sheet4!B11</f>
        <v> .5963998</v>
      </c>
      <c r="Q404" t="str">
        <f>[1]Sheet4!C11</f>
        <v>  .6693142</v>
      </c>
      <c r="R404" t="str">
        <f>[1]Sheet4!D11</f>
        <v>     .694117</v>
      </c>
      <c r="S404" t="str">
        <f>[1]Sheet4!E11</f>
        <v>  .7433534</v>
      </c>
      <c r="W404">
        <v>0.8384047</v>
      </c>
      <c r="X404">
        <v>0.78751769999999999</v>
      </c>
      <c r="Y404">
        <v>0.69411699999999998</v>
      </c>
      <c r="Z404">
        <v>0.56698380000000004</v>
      </c>
      <c r="AA404">
        <v>0.37196119999999999</v>
      </c>
      <c r="AB404">
        <v>0.2136671</v>
      </c>
      <c r="AC404">
        <v>0.13221169999999999</v>
      </c>
      <c r="AD404">
        <v>8.9770500000000003E-2</v>
      </c>
      <c r="AE404">
        <v>6.9989499999999996E-2</v>
      </c>
      <c r="AF404">
        <v>1.4205300000000001E-2</v>
      </c>
    </row>
    <row r="405" spans="1:32" x14ac:dyDescent="0.35">
      <c r="H405" s="13">
        <v>1</v>
      </c>
      <c r="I405" s="13" t="s">
        <v>1</v>
      </c>
      <c r="J405" s="13" t="s">
        <v>2</v>
      </c>
      <c r="L405" s="13">
        <f>W405</f>
        <v>0.87973920000000005</v>
      </c>
      <c r="O405">
        <v>4</v>
      </c>
      <c r="P405" t="str">
        <f>[1]Sheet4!B12</f>
        <v> .4879775</v>
      </c>
      <c r="Q405" t="str">
        <f>[1]Sheet4!C12</f>
        <v>  .5264578</v>
      </c>
      <c r="R405" t="str">
        <f>[1]Sheet4!D12</f>
        <v>    .5669838</v>
      </c>
      <c r="S405" t="str">
        <f>[1]Sheet4!E12</f>
        <v>   .669021</v>
      </c>
      <c r="W405">
        <v>0.87973920000000005</v>
      </c>
      <c r="X405">
        <v>0.83737430000000002</v>
      </c>
      <c r="Y405">
        <v>0.74335340000000005</v>
      </c>
      <c r="Z405">
        <v>0.66902099999999998</v>
      </c>
      <c r="AA405">
        <v>0.47085260000000001</v>
      </c>
      <c r="AB405">
        <v>0.37205739999999998</v>
      </c>
      <c r="AC405">
        <v>0.2054214</v>
      </c>
      <c r="AD405">
        <v>0.1543214</v>
      </c>
      <c r="AE405">
        <v>6.9139800000000001E-2</v>
      </c>
      <c r="AF405">
        <v>0.13015669999999999</v>
      </c>
    </row>
    <row r="406" spans="1:32" x14ac:dyDescent="0.35">
      <c r="H406" s="13">
        <v>2</v>
      </c>
      <c r="I406" s="13" t="s">
        <v>3</v>
      </c>
      <c r="J406" s="13" t="s">
        <v>0</v>
      </c>
      <c r="L406" s="13">
        <f>X402</f>
        <v>0.58857930000000003</v>
      </c>
      <c r="O406">
        <v>5</v>
      </c>
      <c r="P406" t="str">
        <f>[1]Sheet4!B13</f>
        <v> .3906404</v>
      </c>
      <c r="Q406" t="str">
        <f>[1]Sheet4!C13</f>
        <v>  .3719647</v>
      </c>
      <c r="R406" t="str">
        <f>[1]Sheet4!D13</f>
        <v>    .3719612</v>
      </c>
      <c r="S406" t="str">
        <f>[1]Sheet4!E13</f>
        <v>  .4708526</v>
      </c>
    </row>
    <row r="407" spans="1:32" x14ac:dyDescent="0.35">
      <c r="H407" s="13">
        <v>2</v>
      </c>
      <c r="I407" s="13" t="s">
        <v>3</v>
      </c>
      <c r="J407" s="13" t="s">
        <v>2</v>
      </c>
      <c r="L407" s="13">
        <f>X403</f>
        <v>0.70152179999999997</v>
      </c>
      <c r="O407">
        <v>6</v>
      </c>
      <c r="P407" t="str">
        <f>[1]Sheet4!B14</f>
        <v> .1977201</v>
      </c>
      <c r="Q407" t="str">
        <f>[1]Sheet4!C14</f>
        <v>  .2944397</v>
      </c>
      <c r="R407" t="str">
        <f>[1]Sheet4!D14</f>
        <v>    .2136671</v>
      </c>
      <c r="S407" t="str">
        <f>[1]Sheet4!E14</f>
        <v>  .3720574</v>
      </c>
    </row>
    <row r="408" spans="1:32" x14ac:dyDescent="0.35">
      <c r="H408" s="13">
        <v>2</v>
      </c>
      <c r="I408" s="13" t="s">
        <v>1</v>
      </c>
      <c r="J408" s="13" t="s">
        <v>0</v>
      </c>
      <c r="L408" s="13">
        <f>X404</f>
        <v>0.78751769999999999</v>
      </c>
      <c r="O408">
        <v>7</v>
      </c>
      <c r="P408" t="str">
        <f>[1]Sheet4!B15</f>
        <v>  .148928</v>
      </c>
      <c r="Q408" t="str">
        <f>[1]Sheet4!C15</f>
        <v>  .2303651</v>
      </c>
      <c r="R408" t="str">
        <f>[1]Sheet4!D15</f>
        <v>    .1322117</v>
      </c>
      <c r="S408" t="str">
        <f>[1]Sheet4!E15</f>
        <v>  .2054214</v>
      </c>
    </row>
    <row r="409" spans="1:32" x14ac:dyDescent="0.35">
      <c r="H409" s="13">
        <v>2</v>
      </c>
      <c r="I409" s="13" t="s">
        <v>1</v>
      </c>
      <c r="J409" s="13" t="s">
        <v>2</v>
      </c>
      <c r="L409" s="13">
        <f>X405</f>
        <v>0.83737430000000002</v>
      </c>
      <c r="O409">
        <v>8</v>
      </c>
      <c r="P409" t="str">
        <f>[1]Sheet4!B16</f>
        <v>  .124075</v>
      </c>
      <c r="Q409" t="str">
        <f>[1]Sheet4!C16</f>
        <v>  .2343718</v>
      </c>
      <c r="R409" t="str">
        <f>[1]Sheet4!D16</f>
        <v>    .0897705</v>
      </c>
      <c r="S409" t="str">
        <f>[1]Sheet4!E16</f>
        <v>  .1543214</v>
      </c>
    </row>
    <row r="410" spans="1:32" x14ac:dyDescent="0.35">
      <c r="H410" s="13">
        <v>3</v>
      </c>
      <c r="I410" s="13" t="s">
        <v>3</v>
      </c>
      <c r="J410" s="13" t="s">
        <v>0</v>
      </c>
      <c r="L410" s="13">
        <f>Y402</f>
        <v>0.59639980000000004</v>
      </c>
      <c r="O410">
        <v>9</v>
      </c>
      <c r="P410" t="str">
        <f>[1]Sheet4!B17</f>
        <v> .1469048</v>
      </c>
      <c r="Q410" t="str">
        <f>[1]Sheet4!C17</f>
        <v>  .1774925</v>
      </c>
      <c r="R410" t="str">
        <f>[1]Sheet4!D17</f>
        <v>    .0699895</v>
      </c>
      <c r="S410" t="str">
        <f>[1]Sheet4!E17</f>
        <v>  .0691398</v>
      </c>
    </row>
    <row r="411" spans="1:32" x14ac:dyDescent="0.35">
      <c r="H411" s="13">
        <v>3</v>
      </c>
      <c r="I411" s="13" t="s">
        <v>3</v>
      </c>
      <c r="J411" s="13" t="s">
        <v>2</v>
      </c>
      <c r="L411" s="13">
        <f>Y403</f>
        <v>0.66931419999999997</v>
      </c>
      <c r="O411">
        <v>10</v>
      </c>
      <c r="P411" t="str">
        <f>[1]Sheet4!B18</f>
        <v> .1815603</v>
      </c>
      <c r="Q411" t="str">
        <f>[1]Sheet4!C18</f>
        <v>    .29052</v>
      </c>
      <c r="R411" t="str">
        <f>[1]Sheet4!D18</f>
        <v>    .0142053</v>
      </c>
      <c r="S411" t="str">
        <f>[1]Sheet4!E18</f>
        <v>  .1301567</v>
      </c>
    </row>
    <row r="412" spans="1:32" x14ac:dyDescent="0.35">
      <c r="H412" s="13">
        <v>3</v>
      </c>
      <c r="I412" s="13" t="s">
        <v>1</v>
      </c>
      <c r="J412" s="13" t="s">
        <v>0</v>
      </c>
      <c r="L412" s="13">
        <f>Y404</f>
        <v>0.69411699999999998</v>
      </c>
    </row>
    <row r="413" spans="1:32" x14ac:dyDescent="0.35">
      <c r="H413" s="13">
        <v>3</v>
      </c>
      <c r="I413" s="13" t="s">
        <v>1</v>
      </c>
      <c r="J413" s="13" t="s">
        <v>2</v>
      </c>
      <c r="L413" s="13">
        <f>Y405</f>
        <v>0.74335340000000005</v>
      </c>
    </row>
    <row r="414" spans="1:32" x14ac:dyDescent="0.35">
      <c r="H414" s="13">
        <v>4</v>
      </c>
      <c r="I414" s="13" t="s">
        <v>3</v>
      </c>
      <c r="J414" s="13" t="s">
        <v>0</v>
      </c>
      <c r="L414" s="13">
        <f>Z402</f>
        <v>0.48797750000000001</v>
      </c>
    </row>
    <row r="415" spans="1:32" x14ac:dyDescent="0.35">
      <c r="H415" s="13">
        <v>4</v>
      </c>
      <c r="I415" s="13" t="s">
        <v>3</v>
      </c>
      <c r="J415" s="13" t="s">
        <v>2</v>
      </c>
      <c r="L415" s="13">
        <f>Z403</f>
        <v>0.52645779999999998</v>
      </c>
    </row>
    <row r="416" spans="1:32" x14ac:dyDescent="0.35">
      <c r="H416" s="13">
        <v>4</v>
      </c>
      <c r="I416" s="13" t="s">
        <v>1</v>
      </c>
      <c r="J416" s="13" t="s">
        <v>0</v>
      </c>
      <c r="L416" s="13">
        <f>Z404</f>
        <v>0.56698380000000004</v>
      </c>
    </row>
    <row r="417" spans="8:12" x14ac:dyDescent="0.35">
      <c r="H417" s="13">
        <v>4</v>
      </c>
      <c r="I417" s="13" t="s">
        <v>1</v>
      </c>
      <c r="J417" s="13" t="s">
        <v>2</v>
      </c>
      <c r="L417" s="13">
        <f>Z405</f>
        <v>0.66902099999999998</v>
      </c>
    </row>
    <row r="418" spans="8:12" x14ac:dyDescent="0.35">
      <c r="H418" s="13">
        <v>5</v>
      </c>
      <c r="I418" s="13" t="s">
        <v>3</v>
      </c>
      <c r="J418" s="13" t="s">
        <v>0</v>
      </c>
      <c r="L418" s="13">
        <f>AA402</f>
        <v>0.3906404</v>
      </c>
    </row>
    <row r="419" spans="8:12" x14ac:dyDescent="0.35">
      <c r="H419" s="13">
        <v>5</v>
      </c>
      <c r="I419" s="13" t="s">
        <v>3</v>
      </c>
      <c r="J419" s="13" t="s">
        <v>2</v>
      </c>
      <c r="L419" s="13">
        <f>AA403</f>
        <v>0.37196469999999998</v>
      </c>
    </row>
    <row r="420" spans="8:12" x14ac:dyDescent="0.35">
      <c r="H420" s="13">
        <v>5</v>
      </c>
      <c r="I420" s="13" t="s">
        <v>1</v>
      </c>
      <c r="J420" s="13" t="s">
        <v>0</v>
      </c>
      <c r="L420" s="13">
        <f>AA404</f>
        <v>0.37196119999999999</v>
      </c>
    </row>
    <row r="421" spans="8:12" x14ac:dyDescent="0.35">
      <c r="H421" s="13">
        <v>5</v>
      </c>
      <c r="I421" s="13" t="s">
        <v>1</v>
      </c>
      <c r="J421" s="13" t="s">
        <v>2</v>
      </c>
      <c r="L421" s="13">
        <f>AA405</f>
        <v>0.47085260000000001</v>
      </c>
    </row>
    <row r="422" spans="8:12" x14ac:dyDescent="0.35">
      <c r="H422" s="13">
        <v>6</v>
      </c>
      <c r="I422" s="13" t="s">
        <v>3</v>
      </c>
      <c r="J422" s="13" t="s">
        <v>0</v>
      </c>
      <c r="L422" s="13">
        <f>AB402</f>
        <v>0.19772010000000001</v>
      </c>
    </row>
    <row r="423" spans="8:12" x14ac:dyDescent="0.35">
      <c r="H423" s="13">
        <v>6</v>
      </c>
      <c r="I423" s="13" t="s">
        <v>3</v>
      </c>
      <c r="J423" s="13" t="s">
        <v>2</v>
      </c>
      <c r="L423" s="13">
        <f>AB403</f>
        <v>0.29443970000000003</v>
      </c>
    </row>
    <row r="424" spans="8:12" x14ac:dyDescent="0.35">
      <c r="H424" s="13">
        <v>6</v>
      </c>
      <c r="I424" s="13" t="s">
        <v>1</v>
      </c>
      <c r="J424" s="13" t="s">
        <v>0</v>
      </c>
      <c r="L424" s="13">
        <f>AB404</f>
        <v>0.2136671</v>
      </c>
    </row>
    <row r="425" spans="8:12" x14ac:dyDescent="0.35">
      <c r="H425" s="13">
        <v>6</v>
      </c>
      <c r="I425" s="13" t="s">
        <v>1</v>
      </c>
      <c r="J425" s="13" t="s">
        <v>2</v>
      </c>
      <c r="L425" s="13">
        <f>AB405</f>
        <v>0.37205739999999998</v>
      </c>
    </row>
    <row r="426" spans="8:12" x14ac:dyDescent="0.35">
      <c r="H426" s="13">
        <v>7</v>
      </c>
      <c r="I426" s="13" t="s">
        <v>3</v>
      </c>
      <c r="J426" s="13" t="s">
        <v>0</v>
      </c>
      <c r="L426" s="13">
        <f>AC402</f>
        <v>0.148928</v>
      </c>
    </row>
    <row r="427" spans="8:12" x14ac:dyDescent="0.35">
      <c r="H427" s="13">
        <v>7</v>
      </c>
      <c r="I427" s="13" t="s">
        <v>3</v>
      </c>
      <c r="J427" s="13" t="s">
        <v>2</v>
      </c>
      <c r="L427" s="13">
        <f>AC403</f>
        <v>0.23036509999999999</v>
      </c>
    </row>
    <row r="428" spans="8:12" x14ac:dyDescent="0.35">
      <c r="H428" s="13">
        <v>7</v>
      </c>
      <c r="I428" s="13" t="s">
        <v>1</v>
      </c>
      <c r="J428" s="13" t="s">
        <v>0</v>
      </c>
      <c r="L428" s="13">
        <f>AC404</f>
        <v>0.13221169999999999</v>
      </c>
    </row>
    <row r="429" spans="8:12" x14ac:dyDescent="0.35">
      <c r="H429" s="13">
        <v>7</v>
      </c>
      <c r="I429" s="13" t="s">
        <v>1</v>
      </c>
      <c r="J429" s="13" t="s">
        <v>2</v>
      </c>
      <c r="L429" s="13">
        <f>AC405</f>
        <v>0.2054214</v>
      </c>
    </row>
    <row r="430" spans="8:12" x14ac:dyDescent="0.35">
      <c r="H430" s="13">
        <v>8</v>
      </c>
      <c r="I430" s="13" t="s">
        <v>3</v>
      </c>
      <c r="J430" s="13" t="s">
        <v>0</v>
      </c>
      <c r="L430" s="13">
        <f>AD402</f>
        <v>0.124075</v>
      </c>
    </row>
    <row r="431" spans="8:12" x14ac:dyDescent="0.35">
      <c r="H431" s="13">
        <v>8</v>
      </c>
      <c r="I431" s="13" t="s">
        <v>3</v>
      </c>
      <c r="J431" s="13" t="s">
        <v>2</v>
      </c>
      <c r="L431" s="13">
        <f>AD403</f>
        <v>0.23437179999999999</v>
      </c>
    </row>
    <row r="432" spans="8:12" x14ac:dyDescent="0.35">
      <c r="H432" s="13">
        <v>8</v>
      </c>
      <c r="I432" s="13" t="s">
        <v>1</v>
      </c>
      <c r="J432" s="13" t="s">
        <v>0</v>
      </c>
      <c r="L432" s="13">
        <f>AD404</f>
        <v>8.9770500000000003E-2</v>
      </c>
    </row>
    <row r="433" spans="1:12" x14ac:dyDescent="0.35">
      <c r="H433" s="13">
        <v>8</v>
      </c>
      <c r="I433" s="13" t="s">
        <v>1</v>
      </c>
      <c r="J433" s="13" t="s">
        <v>2</v>
      </c>
      <c r="L433" s="13">
        <f>AD405</f>
        <v>0.1543214</v>
      </c>
    </row>
    <row r="434" spans="1:12" x14ac:dyDescent="0.35">
      <c r="H434" s="13">
        <v>9</v>
      </c>
      <c r="I434" s="13" t="s">
        <v>3</v>
      </c>
      <c r="J434" s="13" t="s">
        <v>0</v>
      </c>
      <c r="L434" s="13">
        <f>AE402</f>
        <v>0.1469048</v>
      </c>
    </row>
    <row r="435" spans="1:12" x14ac:dyDescent="0.35">
      <c r="H435" s="13">
        <v>9</v>
      </c>
      <c r="I435" s="13" t="s">
        <v>3</v>
      </c>
      <c r="J435" s="13" t="s">
        <v>2</v>
      </c>
      <c r="L435" s="13">
        <f>AE403</f>
        <v>0.1774925</v>
      </c>
    </row>
    <row r="436" spans="1:12" x14ac:dyDescent="0.35">
      <c r="H436" s="13">
        <v>9</v>
      </c>
      <c r="I436" s="13" t="s">
        <v>1</v>
      </c>
      <c r="J436" s="13" t="s">
        <v>0</v>
      </c>
      <c r="L436" s="13">
        <f>AE404</f>
        <v>6.9989499999999996E-2</v>
      </c>
    </row>
    <row r="437" spans="1:12" x14ac:dyDescent="0.35">
      <c r="H437" s="13">
        <v>9</v>
      </c>
      <c r="I437" s="13" t="s">
        <v>1</v>
      </c>
      <c r="J437" s="13" t="s">
        <v>2</v>
      </c>
      <c r="L437" s="13">
        <f>AE405</f>
        <v>6.9139800000000001E-2</v>
      </c>
    </row>
    <row r="438" spans="1:12" x14ac:dyDescent="0.35">
      <c r="H438" s="13">
        <v>10</v>
      </c>
      <c r="I438" s="13" t="s">
        <v>3</v>
      </c>
      <c r="J438" s="13" t="s">
        <v>0</v>
      </c>
      <c r="L438" s="13">
        <f>AF402</f>
        <v>0.18156030000000001</v>
      </c>
    </row>
    <row r="439" spans="1:12" x14ac:dyDescent="0.35">
      <c r="H439" s="13">
        <v>10</v>
      </c>
      <c r="I439" s="13" t="s">
        <v>3</v>
      </c>
      <c r="J439" s="13" t="s">
        <v>2</v>
      </c>
      <c r="L439" s="13">
        <f t="shared" ref="L439:L441" si="10">AF403</f>
        <v>0.29052</v>
      </c>
    </row>
    <row r="440" spans="1:12" x14ac:dyDescent="0.35">
      <c r="H440" s="13">
        <v>10</v>
      </c>
      <c r="I440" s="13" t="s">
        <v>1</v>
      </c>
      <c r="J440" s="13" t="s">
        <v>0</v>
      </c>
      <c r="L440" s="13">
        <f t="shared" si="10"/>
        <v>1.4205300000000001E-2</v>
      </c>
    </row>
    <row r="441" spans="1:12" x14ac:dyDescent="0.35">
      <c r="H441" s="13">
        <v>10</v>
      </c>
      <c r="I441" s="13" t="s">
        <v>1</v>
      </c>
      <c r="J441" s="13" t="s">
        <v>2</v>
      </c>
      <c r="L441" s="13">
        <f t="shared" si="10"/>
        <v>0.13015669999999999</v>
      </c>
    </row>
    <row r="442" spans="1:12" x14ac:dyDescent="0.35">
      <c r="A442" s="3" t="s">
        <v>7</v>
      </c>
      <c r="B442" s="3"/>
      <c r="C442" s="3"/>
      <c r="D442" s="3" t="s">
        <v>37</v>
      </c>
      <c r="E442" t="s">
        <v>5</v>
      </c>
      <c r="F442" s="6" t="s">
        <v>65</v>
      </c>
      <c r="G442">
        <v>40</v>
      </c>
      <c r="H442" s="13">
        <v>1</v>
      </c>
      <c r="I442" s="13" t="s">
        <v>3</v>
      </c>
      <c r="J442" s="13" t="s">
        <v>0</v>
      </c>
    </row>
    <row r="443" spans="1:12" x14ac:dyDescent="0.35">
      <c r="H443" s="13">
        <v>1</v>
      </c>
      <c r="I443" s="13" t="s">
        <v>3</v>
      </c>
      <c r="J443" s="13" t="s">
        <v>2</v>
      </c>
    </row>
    <row r="444" spans="1:12" x14ac:dyDescent="0.35">
      <c r="H444" s="13">
        <v>1</v>
      </c>
      <c r="I444" s="13" t="s">
        <v>1</v>
      </c>
      <c r="J444" s="13" t="s">
        <v>0</v>
      </c>
    </row>
    <row r="445" spans="1:12" x14ac:dyDescent="0.35">
      <c r="H445" s="13">
        <v>1</v>
      </c>
      <c r="I445" s="13" t="s">
        <v>1</v>
      </c>
      <c r="J445" s="13" t="s">
        <v>2</v>
      </c>
    </row>
    <row r="446" spans="1:12" x14ac:dyDescent="0.35">
      <c r="H446" s="13">
        <v>2</v>
      </c>
      <c r="I446" s="13" t="s">
        <v>3</v>
      </c>
      <c r="J446" s="13" t="s">
        <v>0</v>
      </c>
    </row>
    <row r="447" spans="1:12" x14ac:dyDescent="0.35">
      <c r="H447" s="13">
        <v>2</v>
      </c>
      <c r="I447" s="13" t="s">
        <v>3</v>
      </c>
      <c r="J447" s="13" t="s">
        <v>2</v>
      </c>
    </row>
    <row r="448" spans="1:12" x14ac:dyDescent="0.35">
      <c r="H448" s="13">
        <v>2</v>
      </c>
      <c r="I448" s="13" t="s">
        <v>1</v>
      </c>
      <c r="J448" s="13" t="s">
        <v>0</v>
      </c>
    </row>
    <row r="449" spans="8:10" x14ac:dyDescent="0.35">
      <c r="H449" s="13">
        <v>2</v>
      </c>
      <c r="I449" s="13" t="s">
        <v>1</v>
      </c>
      <c r="J449" s="13" t="s">
        <v>2</v>
      </c>
    </row>
    <row r="450" spans="8:10" x14ac:dyDescent="0.35">
      <c r="H450" s="13">
        <v>3</v>
      </c>
      <c r="I450" s="13" t="s">
        <v>3</v>
      </c>
      <c r="J450" s="13" t="s">
        <v>0</v>
      </c>
    </row>
    <row r="451" spans="8:10" x14ac:dyDescent="0.35">
      <c r="H451" s="13">
        <v>3</v>
      </c>
      <c r="I451" s="13" t="s">
        <v>3</v>
      </c>
      <c r="J451" s="13" t="s">
        <v>2</v>
      </c>
    </row>
    <row r="452" spans="8:10" x14ac:dyDescent="0.35">
      <c r="H452" s="13">
        <v>3</v>
      </c>
      <c r="I452" s="13" t="s">
        <v>1</v>
      </c>
      <c r="J452" s="13" t="s">
        <v>0</v>
      </c>
    </row>
    <row r="453" spans="8:10" x14ac:dyDescent="0.35">
      <c r="H453" s="13">
        <v>3</v>
      </c>
      <c r="I453" s="13" t="s">
        <v>1</v>
      </c>
      <c r="J453" s="13" t="s">
        <v>2</v>
      </c>
    </row>
    <row r="454" spans="8:10" x14ac:dyDescent="0.35">
      <c r="H454" s="13">
        <v>4</v>
      </c>
      <c r="I454" s="13" t="s">
        <v>3</v>
      </c>
      <c r="J454" s="13" t="s">
        <v>0</v>
      </c>
    </row>
    <row r="455" spans="8:10" x14ac:dyDescent="0.35">
      <c r="H455" s="13">
        <v>4</v>
      </c>
      <c r="I455" s="13" t="s">
        <v>3</v>
      </c>
      <c r="J455" s="13" t="s">
        <v>2</v>
      </c>
    </row>
    <row r="456" spans="8:10" x14ac:dyDescent="0.35">
      <c r="H456" s="13">
        <v>4</v>
      </c>
      <c r="I456" s="13" t="s">
        <v>1</v>
      </c>
      <c r="J456" s="13" t="s">
        <v>0</v>
      </c>
    </row>
    <row r="457" spans="8:10" x14ac:dyDescent="0.35">
      <c r="H457" s="13">
        <v>4</v>
      </c>
      <c r="I457" s="13" t="s">
        <v>1</v>
      </c>
      <c r="J457" s="13" t="s">
        <v>2</v>
      </c>
    </row>
    <row r="458" spans="8:10" x14ac:dyDescent="0.35">
      <c r="H458" s="13">
        <v>5</v>
      </c>
      <c r="I458" s="13" t="s">
        <v>3</v>
      </c>
      <c r="J458" s="13" t="s">
        <v>0</v>
      </c>
    </row>
    <row r="459" spans="8:10" x14ac:dyDescent="0.35">
      <c r="H459" s="13">
        <v>5</v>
      </c>
      <c r="I459" s="13" t="s">
        <v>3</v>
      </c>
      <c r="J459" s="13" t="s">
        <v>2</v>
      </c>
    </row>
    <row r="460" spans="8:10" x14ac:dyDescent="0.35">
      <c r="H460" s="13">
        <v>5</v>
      </c>
      <c r="I460" s="13" t="s">
        <v>1</v>
      </c>
      <c r="J460" s="13" t="s">
        <v>0</v>
      </c>
    </row>
    <row r="461" spans="8:10" x14ac:dyDescent="0.35">
      <c r="H461" s="13">
        <v>5</v>
      </c>
      <c r="I461" s="13" t="s">
        <v>1</v>
      </c>
      <c r="J461" s="13" t="s">
        <v>2</v>
      </c>
    </row>
    <row r="462" spans="8:10" x14ac:dyDescent="0.35">
      <c r="H462" s="13">
        <v>6</v>
      </c>
      <c r="I462" s="13" t="s">
        <v>3</v>
      </c>
      <c r="J462" s="13" t="s">
        <v>0</v>
      </c>
    </row>
    <row r="463" spans="8:10" x14ac:dyDescent="0.35">
      <c r="H463" s="13">
        <v>6</v>
      </c>
      <c r="I463" s="13" t="s">
        <v>3</v>
      </c>
      <c r="J463" s="13" t="s">
        <v>2</v>
      </c>
    </row>
    <row r="464" spans="8:10" x14ac:dyDescent="0.35">
      <c r="H464" s="13">
        <v>6</v>
      </c>
      <c r="I464" s="13" t="s">
        <v>1</v>
      </c>
      <c r="J464" s="13" t="s">
        <v>0</v>
      </c>
    </row>
    <row r="465" spans="8:10" x14ac:dyDescent="0.35">
      <c r="H465" s="13">
        <v>6</v>
      </c>
      <c r="I465" s="13" t="s">
        <v>1</v>
      </c>
      <c r="J465" s="13" t="s">
        <v>2</v>
      </c>
    </row>
    <row r="466" spans="8:10" x14ac:dyDescent="0.35">
      <c r="H466" s="13">
        <v>7</v>
      </c>
      <c r="I466" s="13" t="s">
        <v>3</v>
      </c>
      <c r="J466" s="13" t="s">
        <v>0</v>
      </c>
    </row>
    <row r="467" spans="8:10" x14ac:dyDescent="0.35">
      <c r="H467" s="13">
        <v>7</v>
      </c>
      <c r="I467" s="13" t="s">
        <v>3</v>
      </c>
      <c r="J467" s="13" t="s">
        <v>2</v>
      </c>
    </row>
    <row r="468" spans="8:10" x14ac:dyDescent="0.35">
      <c r="H468" s="13">
        <v>7</v>
      </c>
      <c r="I468" s="13" t="s">
        <v>1</v>
      </c>
      <c r="J468" s="13" t="s">
        <v>0</v>
      </c>
    </row>
    <row r="469" spans="8:10" x14ac:dyDescent="0.35">
      <c r="H469" s="13">
        <v>7</v>
      </c>
      <c r="I469" s="13" t="s">
        <v>1</v>
      </c>
      <c r="J469" s="13" t="s">
        <v>2</v>
      </c>
    </row>
    <row r="470" spans="8:10" x14ac:dyDescent="0.35">
      <c r="H470" s="13">
        <v>8</v>
      </c>
      <c r="I470" s="13" t="s">
        <v>3</v>
      </c>
      <c r="J470" s="13" t="s">
        <v>0</v>
      </c>
    </row>
    <row r="471" spans="8:10" x14ac:dyDescent="0.35">
      <c r="H471" s="13">
        <v>8</v>
      </c>
      <c r="I471" s="13" t="s">
        <v>3</v>
      </c>
      <c r="J471" s="13" t="s">
        <v>2</v>
      </c>
    </row>
    <row r="472" spans="8:10" x14ac:dyDescent="0.35">
      <c r="H472" s="13">
        <v>8</v>
      </c>
      <c r="I472" s="13" t="s">
        <v>1</v>
      </c>
      <c r="J472" s="13" t="s">
        <v>0</v>
      </c>
    </row>
    <row r="473" spans="8:10" x14ac:dyDescent="0.35">
      <c r="H473" s="13">
        <v>8</v>
      </c>
      <c r="I473" s="13" t="s">
        <v>1</v>
      </c>
      <c r="J473" s="13" t="s">
        <v>2</v>
      </c>
    </row>
    <row r="474" spans="8:10" x14ac:dyDescent="0.35">
      <c r="H474" s="13">
        <v>9</v>
      </c>
      <c r="I474" s="13" t="s">
        <v>3</v>
      </c>
      <c r="J474" s="13" t="s">
        <v>0</v>
      </c>
    </row>
    <row r="475" spans="8:10" x14ac:dyDescent="0.35">
      <c r="H475" s="13">
        <v>9</v>
      </c>
      <c r="I475" s="13" t="s">
        <v>3</v>
      </c>
      <c r="J475" s="13" t="s">
        <v>2</v>
      </c>
    </row>
    <row r="476" spans="8:10" x14ac:dyDescent="0.35">
      <c r="H476" s="13">
        <v>9</v>
      </c>
      <c r="I476" s="13" t="s">
        <v>1</v>
      </c>
      <c r="J476" s="13" t="s">
        <v>0</v>
      </c>
    </row>
    <row r="477" spans="8:10" x14ac:dyDescent="0.35">
      <c r="H477" s="13">
        <v>9</v>
      </c>
      <c r="I477" s="13" t="s">
        <v>1</v>
      </c>
      <c r="J477" s="13" t="s">
        <v>2</v>
      </c>
    </row>
    <row r="478" spans="8:10" x14ac:dyDescent="0.35">
      <c r="H478" s="13">
        <v>10</v>
      </c>
      <c r="I478" s="13" t="s">
        <v>3</v>
      </c>
      <c r="J478" s="13" t="s">
        <v>0</v>
      </c>
    </row>
    <row r="479" spans="8:10" x14ac:dyDescent="0.35">
      <c r="H479" s="13">
        <v>10</v>
      </c>
      <c r="I479" s="13" t="s">
        <v>3</v>
      </c>
      <c r="J479" s="13" t="s">
        <v>2</v>
      </c>
    </row>
    <row r="480" spans="8:10" x14ac:dyDescent="0.35">
      <c r="H480" s="13">
        <v>10</v>
      </c>
      <c r="I480" s="13" t="s">
        <v>1</v>
      </c>
      <c r="J480" s="13" t="s">
        <v>0</v>
      </c>
    </row>
    <row r="481" spans="1:10" x14ac:dyDescent="0.35">
      <c r="H481" s="13">
        <v>10</v>
      </c>
      <c r="I481" s="13" t="s">
        <v>1</v>
      </c>
      <c r="J481" s="13" t="s">
        <v>2</v>
      </c>
    </row>
    <row r="482" spans="1:10" x14ac:dyDescent="0.35">
      <c r="A482" s="3" t="s">
        <v>14</v>
      </c>
      <c r="B482" s="3"/>
      <c r="C482" s="3"/>
      <c r="D482" s="3" t="s">
        <v>36</v>
      </c>
      <c r="E482" s="3" t="s">
        <v>5</v>
      </c>
      <c r="F482" s="3" t="s">
        <v>35</v>
      </c>
      <c r="G482">
        <v>80</v>
      </c>
      <c r="H482" s="13">
        <v>1</v>
      </c>
      <c r="I482" s="13" t="s">
        <v>3</v>
      </c>
      <c r="J482" s="13" t="s">
        <v>0</v>
      </c>
    </row>
    <row r="483" spans="1:10" x14ac:dyDescent="0.35">
      <c r="H483" s="13">
        <v>1</v>
      </c>
      <c r="I483" s="13" t="s">
        <v>3</v>
      </c>
      <c r="J483" s="13" t="s">
        <v>2</v>
      </c>
    </row>
    <row r="484" spans="1:10" x14ac:dyDescent="0.35">
      <c r="H484" s="13">
        <v>1</v>
      </c>
      <c r="I484" s="13" t="s">
        <v>1</v>
      </c>
      <c r="J484" s="13" t="s">
        <v>0</v>
      </c>
    </row>
    <row r="485" spans="1:10" x14ac:dyDescent="0.35">
      <c r="H485" s="13">
        <v>1</v>
      </c>
      <c r="I485" s="13" t="s">
        <v>1</v>
      </c>
      <c r="J485" s="13" t="s">
        <v>2</v>
      </c>
    </row>
    <row r="486" spans="1:10" x14ac:dyDescent="0.35">
      <c r="H486" s="13">
        <v>2</v>
      </c>
      <c r="I486" s="13" t="s">
        <v>3</v>
      </c>
      <c r="J486" s="13" t="s">
        <v>0</v>
      </c>
    </row>
    <row r="487" spans="1:10" x14ac:dyDescent="0.35">
      <c r="H487" s="13">
        <v>2</v>
      </c>
      <c r="I487" s="13" t="s">
        <v>3</v>
      </c>
      <c r="J487" s="13" t="s">
        <v>2</v>
      </c>
    </row>
    <row r="488" spans="1:10" x14ac:dyDescent="0.35">
      <c r="H488" s="13">
        <v>2</v>
      </c>
      <c r="I488" s="13" t="s">
        <v>1</v>
      </c>
      <c r="J488" s="13" t="s">
        <v>0</v>
      </c>
    </row>
    <row r="489" spans="1:10" x14ac:dyDescent="0.35">
      <c r="H489" s="13">
        <v>2</v>
      </c>
      <c r="I489" s="13" t="s">
        <v>1</v>
      </c>
      <c r="J489" s="13" t="s">
        <v>2</v>
      </c>
    </row>
    <row r="490" spans="1:10" x14ac:dyDescent="0.35">
      <c r="H490" s="13">
        <v>3</v>
      </c>
      <c r="I490" s="13" t="s">
        <v>3</v>
      </c>
      <c r="J490" s="13" t="s">
        <v>0</v>
      </c>
    </row>
    <row r="491" spans="1:10" x14ac:dyDescent="0.35">
      <c r="H491" s="13">
        <v>3</v>
      </c>
      <c r="I491" s="13" t="s">
        <v>3</v>
      </c>
      <c r="J491" s="13" t="s">
        <v>2</v>
      </c>
    </row>
    <row r="492" spans="1:10" x14ac:dyDescent="0.35">
      <c r="H492" s="13">
        <v>3</v>
      </c>
      <c r="I492" s="13" t="s">
        <v>1</v>
      </c>
      <c r="J492" s="13" t="s">
        <v>0</v>
      </c>
    </row>
    <row r="493" spans="1:10" x14ac:dyDescent="0.35">
      <c r="H493" s="13">
        <v>3</v>
      </c>
      <c r="I493" s="13" t="s">
        <v>1</v>
      </c>
      <c r="J493" s="13" t="s">
        <v>2</v>
      </c>
    </row>
    <row r="494" spans="1:10" x14ac:dyDescent="0.35">
      <c r="H494" s="13">
        <v>4</v>
      </c>
      <c r="I494" s="13" t="s">
        <v>3</v>
      </c>
      <c r="J494" s="13" t="s">
        <v>0</v>
      </c>
    </row>
    <row r="495" spans="1:10" x14ac:dyDescent="0.35">
      <c r="H495" s="13">
        <v>4</v>
      </c>
      <c r="I495" s="13" t="s">
        <v>3</v>
      </c>
      <c r="J495" s="13" t="s">
        <v>2</v>
      </c>
    </row>
    <row r="496" spans="1:10" x14ac:dyDescent="0.35">
      <c r="H496" s="13">
        <v>4</v>
      </c>
      <c r="I496" s="13" t="s">
        <v>1</v>
      </c>
      <c r="J496" s="13" t="s">
        <v>0</v>
      </c>
    </row>
    <row r="497" spans="8:10" x14ac:dyDescent="0.35">
      <c r="H497" s="13">
        <v>4</v>
      </c>
      <c r="I497" s="13" t="s">
        <v>1</v>
      </c>
      <c r="J497" s="13" t="s">
        <v>2</v>
      </c>
    </row>
    <row r="498" spans="8:10" x14ac:dyDescent="0.35">
      <c r="H498" s="13">
        <v>5</v>
      </c>
      <c r="I498" s="13" t="s">
        <v>3</v>
      </c>
      <c r="J498" s="13" t="s">
        <v>0</v>
      </c>
    </row>
    <row r="499" spans="8:10" x14ac:dyDescent="0.35">
      <c r="H499" s="13">
        <v>5</v>
      </c>
      <c r="I499" s="13" t="s">
        <v>3</v>
      </c>
      <c r="J499" s="13" t="s">
        <v>2</v>
      </c>
    </row>
    <row r="500" spans="8:10" x14ac:dyDescent="0.35">
      <c r="H500" s="13">
        <v>5</v>
      </c>
      <c r="I500" s="13" t="s">
        <v>1</v>
      </c>
      <c r="J500" s="13" t="s">
        <v>0</v>
      </c>
    </row>
    <row r="501" spans="8:10" x14ac:dyDescent="0.35">
      <c r="H501" s="13">
        <v>5</v>
      </c>
      <c r="I501" s="13" t="s">
        <v>1</v>
      </c>
      <c r="J501" s="13" t="s">
        <v>2</v>
      </c>
    </row>
    <row r="502" spans="8:10" x14ac:dyDescent="0.35">
      <c r="H502" s="13">
        <v>6</v>
      </c>
      <c r="I502" s="13" t="s">
        <v>3</v>
      </c>
      <c r="J502" s="13" t="s">
        <v>0</v>
      </c>
    </row>
    <row r="503" spans="8:10" x14ac:dyDescent="0.35">
      <c r="H503" s="13">
        <v>6</v>
      </c>
      <c r="I503" s="13" t="s">
        <v>3</v>
      </c>
      <c r="J503" s="13" t="s">
        <v>2</v>
      </c>
    </row>
    <row r="504" spans="8:10" x14ac:dyDescent="0.35">
      <c r="H504" s="13">
        <v>6</v>
      </c>
      <c r="I504" s="13" t="s">
        <v>1</v>
      </c>
      <c r="J504" s="13" t="s">
        <v>0</v>
      </c>
    </row>
    <row r="505" spans="8:10" x14ac:dyDescent="0.35">
      <c r="H505" s="13">
        <v>6</v>
      </c>
      <c r="I505" s="13" t="s">
        <v>1</v>
      </c>
      <c r="J505" s="13" t="s">
        <v>2</v>
      </c>
    </row>
    <row r="506" spans="8:10" x14ac:dyDescent="0.35">
      <c r="H506" s="13">
        <v>7</v>
      </c>
      <c r="I506" s="13" t="s">
        <v>3</v>
      </c>
      <c r="J506" s="13" t="s">
        <v>0</v>
      </c>
    </row>
    <row r="507" spans="8:10" x14ac:dyDescent="0.35">
      <c r="H507" s="13">
        <v>7</v>
      </c>
      <c r="I507" s="13" t="s">
        <v>3</v>
      </c>
      <c r="J507" s="13" t="s">
        <v>2</v>
      </c>
    </row>
    <row r="508" spans="8:10" x14ac:dyDescent="0.35">
      <c r="H508" s="13">
        <v>7</v>
      </c>
      <c r="I508" s="13" t="s">
        <v>1</v>
      </c>
      <c r="J508" s="13" t="s">
        <v>0</v>
      </c>
    </row>
    <row r="509" spans="8:10" x14ac:dyDescent="0.35">
      <c r="H509" s="13">
        <v>7</v>
      </c>
      <c r="I509" s="13" t="s">
        <v>1</v>
      </c>
      <c r="J509" s="13" t="s">
        <v>2</v>
      </c>
    </row>
    <row r="510" spans="8:10" x14ac:dyDescent="0.35">
      <c r="H510" s="13">
        <v>8</v>
      </c>
      <c r="I510" s="13" t="s">
        <v>3</v>
      </c>
      <c r="J510" s="13" t="s">
        <v>0</v>
      </c>
    </row>
    <row r="511" spans="8:10" x14ac:dyDescent="0.35">
      <c r="H511" s="13">
        <v>8</v>
      </c>
      <c r="I511" s="13" t="s">
        <v>3</v>
      </c>
      <c r="J511" s="13" t="s">
        <v>2</v>
      </c>
    </row>
    <row r="512" spans="8:10" x14ac:dyDescent="0.35">
      <c r="H512" s="13">
        <v>8</v>
      </c>
      <c r="I512" s="13" t="s">
        <v>1</v>
      </c>
      <c r="J512" s="13" t="s">
        <v>0</v>
      </c>
    </row>
    <row r="513" spans="1:10" x14ac:dyDescent="0.35">
      <c r="H513" s="13">
        <v>8</v>
      </c>
      <c r="I513" s="13" t="s">
        <v>1</v>
      </c>
      <c r="J513" s="13" t="s">
        <v>2</v>
      </c>
    </row>
    <row r="514" spans="1:10" x14ac:dyDescent="0.35">
      <c r="H514" s="13">
        <v>9</v>
      </c>
      <c r="I514" s="13" t="s">
        <v>3</v>
      </c>
      <c r="J514" s="13" t="s">
        <v>0</v>
      </c>
    </row>
    <row r="515" spans="1:10" x14ac:dyDescent="0.35">
      <c r="H515" s="13">
        <v>9</v>
      </c>
      <c r="I515" s="13" t="s">
        <v>3</v>
      </c>
      <c r="J515" s="13" t="s">
        <v>2</v>
      </c>
    </row>
    <row r="516" spans="1:10" x14ac:dyDescent="0.35">
      <c r="H516" s="13">
        <v>9</v>
      </c>
      <c r="I516" s="13" t="s">
        <v>1</v>
      </c>
      <c r="J516" s="13" t="s">
        <v>0</v>
      </c>
    </row>
    <row r="517" spans="1:10" x14ac:dyDescent="0.35">
      <c r="H517" s="13">
        <v>9</v>
      </c>
      <c r="I517" s="13" t="s">
        <v>1</v>
      </c>
      <c r="J517" s="13" t="s">
        <v>2</v>
      </c>
    </row>
    <row r="518" spans="1:10" x14ac:dyDescent="0.35">
      <c r="H518" s="13">
        <v>10</v>
      </c>
      <c r="I518" s="13" t="s">
        <v>3</v>
      </c>
      <c r="J518" s="13" t="s">
        <v>0</v>
      </c>
    </row>
    <row r="519" spans="1:10" x14ac:dyDescent="0.35">
      <c r="H519" s="13">
        <v>10</v>
      </c>
      <c r="I519" s="13" t="s">
        <v>3</v>
      </c>
      <c r="J519" s="13" t="s">
        <v>2</v>
      </c>
    </row>
    <row r="520" spans="1:10" x14ac:dyDescent="0.35">
      <c r="H520" s="13">
        <v>10</v>
      </c>
      <c r="I520" s="13" t="s">
        <v>1</v>
      </c>
      <c r="J520" s="13" t="s">
        <v>0</v>
      </c>
    </row>
    <row r="521" spans="1:10" x14ac:dyDescent="0.35">
      <c r="H521" s="13">
        <v>10</v>
      </c>
      <c r="I521" s="13" t="s">
        <v>1</v>
      </c>
      <c r="J521" s="13" t="s">
        <v>2</v>
      </c>
    </row>
    <row r="522" spans="1:10" x14ac:dyDescent="0.35">
      <c r="A522" s="3" t="s">
        <v>7</v>
      </c>
      <c r="B522" s="3"/>
      <c r="C522" s="3"/>
      <c r="D522" s="3" t="s">
        <v>34</v>
      </c>
      <c r="E522" s="3" t="s">
        <v>5</v>
      </c>
      <c r="F522" s="3" t="s">
        <v>33</v>
      </c>
      <c r="G522">
        <v>40</v>
      </c>
      <c r="H522" s="13">
        <v>1</v>
      </c>
      <c r="I522" s="13" t="s">
        <v>3</v>
      </c>
      <c r="J522" s="13" t="s">
        <v>0</v>
      </c>
    </row>
    <row r="523" spans="1:10" x14ac:dyDescent="0.35">
      <c r="A523" s="4"/>
      <c r="H523" s="13">
        <v>1</v>
      </c>
      <c r="I523" s="13" t="s">
        <v>3</v>
      </c>
      <c r="J523" s="13" t="s">
        <v>2</v>
      </c>
    </row>
    <row r="524" spans="1:10" x14ac:dyDescent="0.35">
      <c r="A524" s="3"/>
      <c r="H524" s="13">
        <v>1</v>
      </c>
      <c r="I524" s="13" t="s">
        <v>1</v>
      </c>
      <c r="J524" s="13" t="s">
        <v>0</v>
      </c>
    </row>
    <row r="525" spans="1:10" x14ac:dyDescent="0.35">
      <c r="A525" s="3"/>
      <c r="H525" s="13">
        <v>1</v>
      </c>
      <c r="I525" s="13" t="s">
        <v>1</v>
      </c>
      <c r="J525" s="13" t="s">
        <v>2</v>
      </c>
    </row>
    <row r="526" spans="1:10" x14ac:dyDescent="0.35">
      <c r="A526" s="4"/>
      <c r="H526" s="13">
        <v>2</v>
      </c>
      <c r="I526" s="13" t="s">
        <v>3</v>
      </c>
      <c r="J526" s="13" t="s">
        <v>0</v>
      </c>
    </row>
    <row r="527" spans="1:10" x14ac:dyDescent="0.35">
      <c r="A527" s="4"/>
      <c r="H527" s="13">
        <v>2</v>
      </c>
      <c r="I527" s="13" t="s">
        <v>3</v>
      </c>
      <c r="J527" s="13" t="s">
        <v>2</v>
      </c>
    </row>
    <row r="528" spans="1:10" x14ac:dyDescent="0.35">
      <c r="A528" s="3"/>
      <c r="H528" s="13">
        <v>2</v>
      </c>
      <c r="I528" s="13" t="s">
        <v>1</v>
      </c>
      <c r="J528" s="13" t="s">
        <v>0</v>
      </c>
    </row>
    <row r="529" spans="1:10" x14ac:dyDescent="0.35">
      <c r="A529" s="3"/>
      <c r="H529" s="13">
        <v>2</v>
      </c>
      <c r="I529" s="13" t="s">
        <v>1</v>
      </c>
      <c r="J529" s="13" t="s">
        <v>2</v>
      </c>
    </row>
    <row r="530" spans="1:10" x14ac:dyDescent="0.35">
      <c r="A530" s="4"/>
      <c r="H530" s="13">
        <v>3</v>
      </c>
      <c r="I530" s="13" t="s">
        <v>3</v>
      </c>
      <c r="J530" s="13" t="s">
        <v>0</v>
      </c>
    </row>
    <row r="531" spans="1:10" x14ac:dyDescent="0.35">
      <c r="A531" s="4"/>
      <c r="H531" s="13">
        <v>3</v>
      </c>
      <c r="I531" s="13" t="s">
        <v>3</v>
      </c>
      <c r="J531" s="13" t="s">
        <v>2</v>
      </c>
    </row>
    <row r="532" spans="1:10" x14ac:dyDescent="0.35">
      <c r="A532" s="3"/>
      <c r="H532" s="13">
        <v>3</v>
      </c>
      <c r="I532" s="13" t="s">
        <v>1</v>
      </c>
      <c r="J532" s="13" t="s">
        <v>0</v>
      </c>
    </row>
    <row r="533" spans="1:10" x14ac:dyDescent="0.35">
      <c r="A533" s="3"/>
      <c r="H533" s="13">
        <v>3</v>
      </c>
      <c r="I533" s="13" t="s">
        <v>1</v>
      </c>
      <c r="J533" s="13" t="s">
        <v>2</v>
      </c>
    </row>
    <row r="534" spans="1:10" x14ac:dyDescent="0.35">
      <c r="A534" s="4"/>
      <c r="H534" s="13">
        <v>4</v>
      </c>
      <c r="I534" s="13" t="s">
        <v>3</v>
      </c>
      <c r="J534" s="13" t="s">
        <v>0</v>
      </c>
    </row>
    <row r="535" spans="1:10" x14ac:dyDescent="0.35">
      <c r="A535" s="4"/>
      <c r="H535" s="13">
        <v>4</v>
      </c>
      <c r="I535" s="13" t="s">
        <v>3</v>
      </c>
      <c r="J535" s="13" t="s">
        <v>2</v>
      </c>
    </row>
    <row r="536" spans="1:10" x14ac:dyDescent="0.35">
      <c r="A536" s="3"/>
      <c r="H536" s="13">
        <v>4</v>
      </c>
      <c r="I536" s="13" t="s">
        <v>1</v>
      </c>
      <c r="J536" s="13" t="s">
        <v>0</v>
      </c>
    </row>
    <row r="537" spans="1:10" x14ac:dyDescent="0.35">
      <c r="A537" s="3"/>
      <c r="H537" s="13">
        <v>4</v>
      </c>
      <c r="I537" s="13" t="s">
        <v>1</v>
      </c>
      <c r="J537" s="13" t="s">
        <v>2</v>
      </c>
    </row>
    <row r="538" spans="1:10" x14ac:dyDescent="0.35">
      <c r="A538" s="4"/>
      <c r="H538" s="13">
        <v>5</v>
      </c>
      <c r="I538" s="13" t="s">
        <v>3</v>
      </c>
      <c r="J538" s="13" t="s">
        <v>0</v>
      </c>
    </row>
    <row r="539" spans="1:10" x14ac:dyDescent="0.35">
      <c r="A539" s="4"/>
      <c r="H539" s="13">
        <v>5</v>
      </c>
      <c r="I539" s="13" t="s">
        <v>3</v>
      </c>
      <c r="J539" s="13" t="s">
        <v>2</v>
      </c>
    </row>
    <row r="540" spans="1:10" x14ac:dyDescent="0.35">
      <c r="A540" s="3"/>
      <c r="H540" s="13">
        <v>5</v>
      </c>
      <c r="I540" s="13" t="s">
        <v>1</v>
      </c>
      <c r="J540" s="13" t="s">
        <v>0</v>
      </c>
    </row>
    <row r="541" spans="1:10" x14ac:dyDescent="0.35">
      <c r="A541" s="3"/>
      <c r="H541" s="13">
        <v>5</v>
      </c>
      <c r="I541" s="13" t="s">
        <v>1</v>
      </c>
      <c r="J541" s="13" t="s">
        <v>2</v>
      </c>
    </row>
    <row r="542" spans="1:10" x14ac:dyDescent="0.35">
      <c r="A542" s="4"/>
      <c r="H542" s="13">
        <v>6</v>
      </c>
      <c r="I542" s="13" t="s">
        <v>3</v>
      </c>
      <c r="J542" s="13" t="s">
        <v>0</v>
      </c>
    </row>
    <row r="543" spans="1:10" x14ac:dyDescent="0.35">
      <c r="A543" s="4"/>
      <c r="H543" s="13">
        <v>6</v>
      </c>
      <c r="I543" s="13" t="s">
        <v>3</v>
      </c>
      <c r="J543" s="13" t="s">
        <v>2</v>
      </c>
    </row>
    <row r="544" spans="1:10" x14ac:dyDescent="0.35">
      <c r="A544" s="3"/>
      <c r="H544" s="13">
        <v>6</v>
      </c>
      <c r="I544" s="13" t="s">
        <v>1</v>
      </c>
      <c r="J544" s="13" t="s">
        <v>0</v>
      </c>
    </row>
    <row r="545" spans="1:10" x14ac:dyDescent="0.35">
      <c r="A545" s="3"/>
      <c r="H545" s="13">
        <v>6</v>
      </c>
      <c r="I545" s="13" t="s">
        <v>1</v>
      </c>
      <c r="J545" s="13" t="s">
        <v>2</v>
      </c>
    </row>
    <row r="546" spans="1:10" x14ac:dyDescent="0.35">
      <c r="A546" s="4"/>
      <c r="H546" s="13">
        <v>7</v>
      </c>
      <c r="I546" s="13" t="s">
        <v>3</v>
      </c>
      <c r="J546" s="13" t="s">
        <v>0</v>
      </c>
    </row>
    <row r="547" spans="1:10" x14ac:dyDescent="0.35">
      <c r="A547" s="4"/>
      <c r="H547" s="13">
        <v>7</v>
      </c>
      <c r="I547" s="13" t="s">
        <v>3</v>
      </c>
      <c r="J547" s="13" t="s">
        <v>2</v>
      </c>
    </row>
    <row r="548" spans="1:10" x14ac:dyDescent="0.35">
      <c r="A548" s="3"/>
      <c r="H548" s="13">
        <v>7</v>
      </c>
      <c r="I548" s="13" t="s">
        <v>1</v>
      </c>
      <c r="J548" s="13" t="s">
        <v>0</v>
      </c>
    </row>
    <row r="549" spans="1:10" x14ac:dyDescent="0.35">
      <c r="A549" s="3"/>
      <c r="H549" s="13">
        <v>7</v>
      </c>
      <c r="I549" s="13" t="s">
        <v>1</v>
      </c>
      <c r="J549" s="13" t="s">
        <v>2</v>
      </c>
    </row>
    <row r="550" spans="1:10" x14ac:dyDescent="0.35">
      <c r="A550" s="4"/>
      <c r="H550" s="13">
        <v>8</v>
      </c>
      <c r="I550" s="13" t="s">
        <v>3</v>
      </c>
      <c r="J550" s="13" t="s">
        <v>0</v>
      </c>
    </row>
    <row r="551" spans="1:10" x14ac:dyDescent="0.35">
      <c r="A551" s="4"/>
      <c r="H551" s="13">
        <v>8</v>
      </c>
      <c r="I551" s="13" t="s">
        <v>3</v>
      </c>
      <c r="J551" s="13" t="s">
        <v>2</v>
      </c>
    </row>
    <row r="552" spans="1:10" x14ac:dyDescent="0.35">
      <c r="A552" s="3"/>
      <c r="H552" s="13">
        <v>8</v>
      </c>
      <c r="I552" s="13" t="s">
        <v>1</v>
      </c>
      <c r="J552" s="13" t="s">
        <v>0</v>
      </c>
    </row>
    <row r="553" spans="1:10" x14ac:dyDescent="0.35">
      <c r="A553" s="3"/>
      <c r="H553" s="13">
        <v>8</v>
      </c>
      <c r="I553" s="13" t="s">
        <v>1</v>
      </c>
      <c r="J553" s="13" t="s">
        <v>2</v>
      </c>
    </row>
    <row r="554" spans="1:10" x14ac:dyDescent="0.35">
      <c r="A554" s="4"/>
      <c r="H554" s="13">
        <v>9</v>
      </c>
      <c r="I554" s="13" t="s">
        <v>3</v>
      </c>
      <c r="J554" s="13" t="s">
        <v>0</v>
      </c>
    </row>
    <row r="555" spans="1:10" x14ac:dyDescent="0.35">
      <c r="A555" s="4"/>
      <c r="H555" s="13">
        <v>9</v>
      </c>
      <c r="I555" s="13" t="s">
        <v>3</v>
      </c>
      <c r="J555" s="13" t="s">
        <v>2</v>
      </c>
    </row>
    <row r="556" spans="1:10" x14ac:dyDescent="0.35">
      <c r="A556" s="3"/>
      <c r="H556" s="13">
        <v>9</v>
      </c>
      <c r="I556" s="13" t="s">
        <v>1</v>
      </c>
      <c r="J556" s="13" t="s">
        <v>0</v>
      </c>
    </row>
    <row r="557" spans="1:10" x14ac:dyDescent="0.35">
      <c r="A557" s="3"/>
      <c r="H557" s="13">
        <v>9</v>
      </c>
      <c r="I557" s="13" t="s">
        <v>1</v>
      </c>
      <c r="J557" s="13" t="s">
        <v>2</v>
      </c>
    </row>
    <row r="558" spans="1:10" x14ac:dyDescent="0.35">
      <c r="A558" s="4"/>
      <c r="H558" s="13">
        <v>10</v>
      </c>
      <c r="I558" s="13" t="s">
        <v>3</v>
      </c>
      <c r="J558" s="13" t="s">
        <v>0</v>
      </c>
    </row>
    <row r="559" spans="1:10" x14ac:dyDescent="0.35">
      <c r="A559" s="4"/>
      <c r="H559" s="13">
        <v>10</v>
      </c>
      <c r="I559" s="13" t="s">
        <v>3</v>
      </c>
      <c r="J559" s="13" t="s">
        <v>2</v>
      </c>
    </row>
    <row r="560" spans="1:10" x14ac:dyDescent="0.35">
      <c r="A560" s="3"/>
      <c r="H560" s="13">
        <v>10</v>
      </c>
      <c r="I560" s="13" t="s">
        <v>1</v>
      </c>
      <c r="J560" s="13" t="s">
        <v>0</v>
      </c>
    </row>
    <row r="561" spans="1:32" x14ac:dyDescent="0.35">
      <c r="A561" s="3"/>
      <c r="H561" s="13">
        <v>10</v>
      </c>
      <c r="I561" s="13" t="s">
        <v>1</v>
      </c>
      <c r="J561" s="13" t="s">
        <v>2</v>
      </c>
    </row>
    <row r="562" spans="1:32" x14ac:dyDescent="0.35">
      <c r="A562" s="4" t="s">
        <v>14</v>
      </c>
      <c r="D562" t="s">
        <v>32</v>
      </c>
      <c r="E562" t="s">
        <v>5</v>
      </c>
      <c r="F562" t="s">
        <v>33</v>
      </c>
      <c r="G562">
        <v>40</v>
      </c>
      <c r="H562" s="13">
        <v>1</v>
      </c>
      <c r="I562" s="13" t="s">
        <v>3</v>
      </c>
      <c r="J562" s="13" t="s">
        <v>0</v>
      </c>
      <c r="L562" s="13">
        <f>W562</f>
        <v>1.34257E-2</v>
      </c>
      <c r="P562" t="str">
        <f>[1]Sheet4!B86</f>
        <v> .0134257</v>
      </c>
      <c r="Q562" t="str">
        <f>[1]Sheet4!C86</f>
        <v>  .0207898</v>
      </c>
      <c r="R562" t="str">
        <f>[1]Sheet4!D86</f>
        <v>     .033009</v>
      </c>
      <c r="S562" t="str">
        <f>[1]Sheet4!E86</f>
        <v>  .0601452</v>
      </c>
      <c r="V562" s="4"/>
      <c r="W562">
        <v>1.34257E-2</v>
      </c>
      <c r="X562">
        <v>1.24434E-2</v>
      </c>
      <c r="Y562">
        <v>2.00035E-2</v>
      </c>
      <c r="Z562">
        <v>1.9907299999999999E-2</v>
      </c>
      <c r="AA562">
        <v>3.3802800000000001E-2</v>
      </c>
      <c r="AB562">
        <v>2.0740399999999999E-2</v>
      </c>
      <c r="AC562">
        <v>9.7371000000000003E-3</v>
      </c>
      <c r="AD562">
        <v>1.0630199999999999E-2</v>
      </c>
      <c r="AE562">
        <v>4.8852000000000001E-3</v>
      </c>
      <c r="AF562">
        <v>7.0900000000000002E-5</v>
      </c>
    </row>
    <row r="563" spans="1:32" x14ac:dyDescent="0.35">
      <c r="A563" s="4"/>
      <c r="H563" s="13">
        <v>1</v>
      </c>
      <c r="I563" s="13" t="s">
        <v>3</v>
      </c>
      <c r="J563" s="13" t="s">
        <v>2</v>
      </c>
      <c r="L563" s="13">
        <f>W563</f>
        <v>2.0789800000000001E-2</v>
      </c>
      <c r="P563" t="str">
        <f>[1]Sheet4!B87</f>
        <v> .0124434</v>
      </c>
      <c r="Q563" t="str">
        <f>[1]Sheet4!C87</f>
        <v>  .0422433</v>
      </c>
      <c r="R563" t="str">
        <f>[1]Sheet4!D87</f>
        <v>    .0418936</v>
      </c>
      <c r="S563" t="str">
        <f>[1]Sheet4!E87</f>
        <v>  .0763023</v>
      </c>
      <c r="W563">
        <v>2.0789800000000001E-2</v>
      </c>
      <c r="X563">
        <v>4.2243299999999998E-2</v>
      </c>
      <c r="Y563">
        <v>2.39271E-2</v>
      </c>
      <c r="Z563">
        <v>2.57807E-2</v>
      </c>
      <c r="AA563">
        <v>3.7177500000000002E-2</v>
      </c>
      <c r="AB563">
        <v>3.0185199999999999E-2</v>
      </c>
      <c r="AC563">
        <v>1.9102399999999999E-2</v>
      </c>
      <c r="AD563">
        <v>9.6436000000000004E-3</v>
      </c>
      <c r="AE563">
        <v>8.1547000000000008E-3</v>
      </c>
      <c r="AF563">
        <v>3.5082999999999998E-3</v>
      </c>
    </row>
    <row r="564" spans="1:32" x14ac:dyDescent="0.35">
      <c r="A564" s="3"/>
      <c r="H564" s="13">
        <v>1</v>
      </c>
      <c r="I564" s="13" t="s">
        <v>1</v>
      </c>
      <c r="J564" s="13" t="s">
        <v>0</v>
      </c>
      <c r="L564" s="13">
        <f>W564</f>
        <v>3.3008999999999997E-2</v>
      </c>
      <c r="P564" t="str">
        <f>[1]Sheet4!B88</f>
        <v> .0200035</v>
      </c>
      <c r="Q564" t="str">
        <f>[1]Sheet4!C88</f>
        <v>  .0239271</v>
      </c>
      <c r="R564" t="str">
        <f>[1]Sheet4!D88</f>
        <v>    .0455349</v>
      </c>
      <c r="S564" t="str">
        <f>[1]Sheet4!E88</f>
        <v>  .1030015</v>
      </c>
      <c r="W564">
        <v>3.3008999999999997E-2</v>
      </c>
      <c r="X564">
        <v>4.1893600000000003E-2</v>
      </c>
      <c r="Y564">
        <v>4.5534900000000003E-2</v>
      </c>
      <c r="Z564">
        <v>7.1271799999999996E-2</v>
      </c>
      <c r="AA564">
        <v>3.8649299999999998E-2</v>
      </c>
      <c r="AB564">
        <v>5.0148100000000001E-2</v>
      </c>
      <c r="AC564">
        <v>3.1453700000000001E-2</v>
      </c>
      <c r="AD564">
        <v>3.1358499999999997E-2</v>
      </c>
      <c r="AE564">
        <v>7.6130000000000002E-4</v>
      </c>
      <c r="AF564">
        <v>0</v>
      </c>
    </row>
    <row r="565" spans="1:32" x14ac:dyDescent="0.35">
      <c r="A565" s="3"/>
      <c r="H565" s="13">
        <v>1</v>
      </c>
      <c r="I565" s="13" t="s">
        <v>1</v>
      </c>
      <c r="J565" s="13" t="s">
        <v>2</v>
      </c>
      <c r="L565" s="13">
        <f>W565</f>
        <v>6.0145200000000003E-2</v>
      </c>
      <c r="P565" t="str">
        <f>[1]Sheet4!B89</f>
        <v> .0199073</v>
      </c>
      <c r="Q565" t="str">
        <f>[1]Sheet4!C89</f>
        <v>  .0257807</v>
      </c>
      <c r="R565" t="str">
        <f>[1]Sheet4!D89</f>
        <v>    .0712718</v>
      </c>
      <c r="S565" t="str">
        <f>[1]Sheet4!E89</f>
        <v>  .1035622</v>
      </c>
      <c r="W565">
        <v>6.0145200000000003E-2</v>
      </c>
      <c r="X565">
        <v>7.6302300000000003E-2</v>
      </c>
      <c r="Y565">
        <v>0.1030015</v>
      </c>
      <c r="Z565">
        <v>0.10356219999999999</v>
      </c>
      <c r="AA565">
        <v>8.4430000000000005E-2</v>
      </c>
      <c r="AB565">
        <v>7.0400199999999996E-2</v>
      </c>
      <c r="AC565">
        <v>7.2544800000000007E-2</v>
      </c>
      <c r="AD565">
        <v>5.3493600000000002E-2</v>
      </c>
      <c r="AE565">
        <v>1.57308E-2</v>
      </c>
      <c r="AF565">
        <v>1.4978099999999999E-2</v>
      </c>
    </row>
    <row r="566" spans="1:32" x14ac:dyDescent="0.35">
      <c r="A566" s="4"/>
      <c r="H566" s="13">
        <v>2</v>
      </c>
      <c r="I566" s="13" t="s">
        <v>3</v>
      </c>
      <c r="J566" s="13" t="s">
        <v>0</v>
      </c>
      <c r="L566" s="13">
        <f>X562</f>
        <v>1.24434E-2</v>
      </c>
      <c r="P566" t="str">
        <f>[1]Sheet4!B90</f>
        <v> .0338028</v>
      </c>
      <c r="Q566" t="str">
        <f>[1]Sheet4!C90</f>
        <v>  .0371775</v>
      </c>
      <c r="R566" t="str">
        <f>[1]Sheet4!D90</f>
        <v>    .0386493</v>
      </c>
      <c r="S566" t="str">
        <f>[1]Sheet4!E90</f>
        <v>    .08443</v>
      </c>
    </row>
    <row r="567" spans="1:32" x14ac:dyDescent="0.35">
      <c r="A567" s="4"/>
      <c r="H567" s="13">
        <v>2</v>
      </c>
      <c r="I567" s="13" t="s">
        <v>3</v>
      </c>
      <c r="J567" s="13" t="s">
        <v>2</v>
      </c>
      <c r="L567" s="13">
        <f>X563</f>
        <v>4.2243299999999998E-2</v>
      </c>
      <c r="P567" t="str">
        <f>[1]Sheet4!B91</f>
        <v> .0207404</v>
      </c>
      <c r="Q567" t="str">
        <f>[1]Sheet4!C91</f>
        <v>  .0301852</v>
      </c>
      <c r="R567" t="str">
        <f>[1]Sheet4!D91</f>
        <v>    .0501481</v>
      </c>
      <c r="S567" t="str">
        <f>[1]Sheet4!E91</f>
        <v>  .0704002</v>
      </c>
    </row>
    <row r="568" spans="1:32" x14ac:dyDescent="0.35">
      <c r="A568" s="3"/>
      <c r="H568" s="13">
        <v>2</v>
      </c>
      <c r="I568" s="13" t="s">
        <v>1</v>
      </c>
      <c r="J568" s="13" t="s">
        <v>0</v>
      </c>
      <c r="L568" s="13">
        <f>X564</f>
        <v>4.1893600000000003E-2</v>
      </c>
      <c r="P568" t="str">
        <f>[1]Sheet4!B92</f>
        <v> .0097371</v>
      </c>
      <c r="Q568" t="str">
        <f>[1]Sheet4!C92</f>
        <v>  .0191024</v>
      </c>
      <c r="R568" t="str">
        <f>[1]Sheet4!D92</f>
        <v>    .0314537</v>
      </c>
      <c r="S568" t="str">
        <f>[1]Sheet4!E92</f>
        <v>  .0725448</v>
      </c>
    </row>
    <row r="569" spans="1:32" x14ac:dyDescent="0.35">
      <c r="A569" s="3"/>
      <c r="H569" s="13">
        <v>2</v>
      </c>
      <c r="I569" s="13" t="s">
        <v>1</v>
      </c>
      <c r="J569" s="13" t="s">
        <v>2</v>
      </c>
      <c r="L569" s="13">
        <f>X565</f>
        <v>7.6302300000000003E-2</v>
      </c>
      <c r="P569" t="str">
        <f>[1]Sheet4!B93</f>
        <v> .0106302</v>
      </c>
      <c r="Q569" t="str">
        <f>[1]Sheet4!C93</f>
        <v>  .0096436</v>
      </c>
      <c r="R569" t="str">
        <f>[1]Sheet4!D93</f>
        <v>    .0313585</v>
      </c>
      <c r="S569" t="str">
        <f>[1]Sheet4!E93</f>
        <v>  .0534936</v>
      </c>
    </row>
    <row r="570" spans="1:32" x14ac:dyDescent="0.35">
      <c r="A570" s="4"/>
      <c r="H570" s="13">
        <v>3</v>
      </c>
      <c r="I570" s="13" t="s">
        <v>3</v>
      </c>
      <c r="J570" s="13" t="s">
        <v>0</v>
      </c>
      <c r="L570" s="13">
        <f>Y562</f>
        <v>2.00035E-2</v>
      </c>
      <c r="P570" t="str">
        <f>[1]Sheet4!B94</f>
        <v> .0048852</v>
      </c>
      <c r="Q570" t="str">
        <f>[1]Sheet4!C94</f>
        <v>  .0081547</v>
      </c>
      <c r="R570" t="str">
        <f>[1]Sheet4!D94</f>
        <v>    .0007613</v>
      </c>
      <c r="S570" t="str">
        <f>[1]Sheet4!E94</f>
        <v>  .0157308</v>
      </c>
    </row>
    <row r="571" spans="1:32" x14ac:dyDescent="0.35">
      <c r="A571" s="4"/>
      <c r="H571" s="13">
        <v>3</v>
      </c>
      <c r="I571" s="13" t="s">
        <v>3</v>
      </c>
      <c r="J571" s="13" t="s">
        <v>2</v>
      </c>
      <c r="L571" s="13">
        <f>Y563</f>
        <v>2.39271E-2</v>
      </c>
      <c r="P571" t="str">
        <f>[1]Sheet4!B95</f>
        <v> .0000709</v>
      </c>
      <c r="Q571" t="str">
        <f>[1]Sheet4!C95</f>
        <v>  .0035083</v>
      </c>
      <c r="R571" t="str">
        <f>[1]Sheet4!D95</f>
        <v>           0</v>
      </c>
      <c r="S571" t="str">
        <f>[1]Sheet4!E95</f>
        <v>  .0149781</v>
      </c>
    </row>
    <row r="572" spans="1:32" x14ac:dyDescent="0.35">
      <c r="A572" s="3"/>
      <c r="H572" s="13">
        <v>3</v>
      </c>
      <c r="I572" s="13" t="s">
        <v>1</v>
      </c>
      <c r="J572" s="13" t="s">
        <v>0</v>
      </c>
      <c r="L572" s="13">
        <f>Y564</f>
        <v>4.5534900000000003E-2</v>
      </c>
    </row>
    <row r="573" spans="1:32" x14ac:dyDescent="0.35">
      <c r="A573" s="3"/>
      <c r="H573" s="13">
        <v>3</v>
      </c>
      <c r="I573" s="13" t="s">
        <v>1</v>
      </c>
      <c r="J573" s="13" t="s">
        <v>2</v>
      </c>
      <c r="L573" s="13">
        <f>Y565</f>
        <v>0.1030015</v>
      </c>
    </row>
    <row r="574" spans="1:32" x14ac:dyDescent="0.35">
      <c r="A574" s="4"/>
      <c r="H574" s="13">
        <v>4</v>
      </c>
      <c r="I574" s="13" t="s">
        <v>3</v>
      </c>
      <c r="J574" s="13" t="s">
        <v>0</v>
      </c>
      <c r="L574" s="13">
        <f>Z562</f>
        <v>1.9907299999999999E-2</v>
      </c>
    </row>
    <row r="575" spans="1:32" x14ac:dyDescent="0.35">
      <c r="A575" s="4"/>
      <c r="H575" s="13">
        <v>4</v>
      </c>
      <c r="I575" s="13" t="s">
        <v>3</v>
      </c>
      <c r="J575" s="13" t="s">
        <v>2</v>
      </c>
      <c r="L575" s="13">
        <f>Z563</f>
        <v>2.57807E-2</v>
      </c>
    </row>
    <row r="576" spans="1:32" x14ac:dyDescent="0.35">
      <c r="A576" s="3"/>
      <c r="H576" s="13">
        <v>4</v>
      </c>
      <c r="I576" s="13" t="s">
        <v>1</v>
      </c>
      <c r="J576" s="13" t="s">
        <v>0</v>
      </c>
      <c r="L576" s="13">
        <f>Z564</f>
        <v>7.1271799999999996E-2</v>
      </c>
    </row>
    <row r="577" spans="1:12" x14ac:dyDescent="0.35">
      <c r="A577" s="3"/>
      <c r="H577" s="13">
        <v>4</v>
      </c>
      <c r="I577" s="13" t="s">
        <v>1</v>
      </c>
      <c r="J577" s="13" t="s">
        <v>2</v>
      </c>
      <c r="L577" s="13">
        <f>Z565</f>
        <v>0.10356219999999999</v>
      </c>
    </row>
    <row r="578" spans="1:12" x14ac:dyDescent="0.35">
      <c r="A578" s="4"/>
      <c r="H578" s="13">
        <v>5</v>
      </c>
      <c r="I578" s="13" t="s">
        <v>3</v>
      </c>
      <c r="J578" s="13" t="s">
        <v>0</v>
      </c>
      <c r="L578" s="13">
        <f>AA562</f>
        <v>3.3802800000000001E-2</v>
      </c>
    </row>
    <row r="579" spans="1:12" x14ac:dyDescent="0.35">
      <c r="A579" s="4"/>
      <c r="H579" s="13">
        <v>5</v>
      </c>
      <c r="I579" s="13" t="s">
        <v>3</v>
      </c>
      <c r="J579" s="13" t="s">
        <v>2</v>
      </c>
      <c r="L579" s="13">
        <f>AA563</f>
        <v>3.7177500000000002E-2</v>
      </c>
    </row>
    <row r="580" spans="1:12" x14ac:dyDescent="0.35">
      <c r="A580" s="3"/>
      <c r="H580" s="13">
        <v>5</v>
      </c>
      <c r="I580" s="13" t="s">
        <v>1</v>
      </c>
      <c r="J580" s="13" t="s">
        <v>0</v>
      </c>
      <c r="L580" s="13">
        <f>AA564</f>
        <v>3.8649299999999998E-2</v>
      </c>
    </row>
    <row r="581" spans="1:12" x14ac:dyDescent="0.35">
      <c r="A581" s="3"/>
      <c r="H581" s="13">
        <v>5</v>
      </c>
      <c r="I581" s="13" t="s">
        <v>1</v>
      </c>
      <c r="J581" s="13" t="s">
        <v>2</v>
      </c>
      <c r="L581" s="13">
        <f>AA565</f>
        <v>8.4430000000000005E-2</v>
      </c>
    </row>
    <row r="582" spans="1:12" x14ac:dyDescent="0.35">
      <c r="A582" s="4"/>
      <c r="H582" s="13">
        <v>6</v>
      </c>
      <c r="I582" s="13" t="s">
        <v>3</v>
      </c>
      <c r="J582" s="13" t="s">
        <v>0</v>
      </c>
      <c r="L582" s="13">
        <f>AB562</f>
        <v>2.0740399999999999E-2</v>
      </c>
    </row>
    <row r="583" spans="1:12" x14ac:dyDescent="0.35">
      <c r="A583" s="4"/>
      <c r="H583" s="13">
        <v>6</v>
      </c>
      <c r="I583" s="13" t="s">
        <v>3</v>
      </c>
      <c r="J583" s="13" t="s">
        <v>2</v>
      </c>
      <c r="L583" s="13">
        <f>AB563</f>
        <v>3.0185199999999999E-2</v>
      </c>
    </row>
    <row r="584" spans="1:12" x14ac:dyDescent="0.35">
      <c r="A584" s="3"/>
      <c r="H584" s="13">
        <v>6</v>
      </c>
      <c r="I584" s="13" t="s">
        <v>1</v>
      </c>
      <c r="J584" s="13" t="s">
        <v>0</v>
      </c>
      <c r="L584" s="13">
        <f>AB564</f>
        <v>5.0148100000000001E-2</v>
      </c>
    </row>
    <row r="585" spans="1:12" x14ac:dyDescent="0.35">
      <c r="A585" s="3"/>
      <c r="H585" s="13">
        <v>6</v>
      </c>
      <c r="I585" s="13" t="s">
        <v>1</v>
      </c>
      <c r="J585" s="13" t="s">
        <v>2</v>
      </c>
      <c r="L585" s="13">
        <f>AB565</f>
        <v>7.0400199999999996E-2</v>
      </c>
    </row>
    <row r="586" spans="1:12" x14ac:dyDescent="0.35">
      <c r="A586" s="4"/>
      <c r="H586" s="13">
        <v>7</v>
      </c>
      <c r="I586" s="13" t="s">
        <v>3</v>
      </c>
      <c r="J586" s="13" t="s">
        <v>0</v>
      </c>
      <c r="L586" s="13">
        <f>AC562</f>
        <v>9.7371000000000003E-3</v>
      </c>
    </row>
    <row r="587" spans="1:12" x14ac:dyDescent="0.35">
      <c r="A587" s="4"/>
      <c r="H587" s="13">
        <v>7</v>
      </c>
      <c r="I587" s="13" t="s">
        <v>3</v>
      </c>
      <c r="J587" s="13" t="s">
        <v>2</v>
      </c>
      <c r="L587" s="13">
        <f>AC563</f>
        <v>1.9102399999999999E-2</v>
      </c>
    </row>
    <row r="588" spans="1:12" x14ac:dyDescent="0.35">
      <c r="A588" s="3"/>
      <c r="H588" s="13">
        <v>7</v>
      </c>
      <c r="I588" s="13" t="s">
        <v>1</v>
      </c>
      <c r="J588" s="13" t="s">
        <v>0</v>
      </c>
      <c r="L588" s="13">
        <f>AC564</f>
        <v>3.1453700000000001E-2</v>
      </c>
    </row>
    <row r="589" spans="1:12" x14ac:dyDescent="0.35">
      <c r="A589" s="3"/>
      <c r="H589" s="13">
        <v>7</v>
      </c>
      <c r="I589" s="13" t="s">
        <v>1</v>
      </c>
      <c r="J589" s="13" t="s">
        <v>2</v>
      </c>
      <c r="L589" s="13">
        <f>AC565</f>
        <v>7.2544800000000007E-2</v>
      </c>
    </row>
    <row r="590" spans="1:12" x14ac:dyDescent="0.35">
      <c r="A590" s="4"/>
      <c r="H590" s="13">
        <v>8</v>
      </c>
      <c r="I590" s="13" t="s">
        <v>3</v>
      </c>
      <c r="J590" s="13" t="s">
        <v>0</v>
      </c>
      <c r="L590" s="13">
        <f>AD562</f>
        <v>1.0630199999999999E-2</v>
      </c>
    </row>
    <row r="591" spans="1:12" x14ac:dyDescent="0.35">
      <c r="A591" s="4"/>
      <c r="H591" s="13">
        <v>8</v>
      </c>
      <c r="I591" s="13" t="s">
        <v>3</v>
      </c>
      <c r="J591" s="13" t="s">
        <v>2</v>
      </c>
      <c r="L591" s="13">
        <f>AD563</f>
        <v>9.6436000000000004E-3</v>
      </c>
    </row>
    <row r="592" spans="1:12" x14ac:dyDescent="0.35">
      <c r="A592" s="3"/>
      <c r="H592" s="13">
        <v>8</v>
      </c>
      <c r="I592" s="13" t="s">
        <v>1</v>
      </c>
      <c r="J592" s="13" t="s">
        <v>0</v>
      </c>
      <c r="L592" s="13">
        <f>AD564</f>
        <v>3.1358499999999997E-2</v>
      </c>
    </row>
    <row r="593" spans="1:32" x14ac:dyDescent="0.35">
      <c r="A593" s="3"/>
      <c r="H593" s="13">
        <v>8</v>
      </c>
      <c r="I593" s="13" t="s">
        <v>1</v>
      </c>
      <c r="J593" s="13" t="s">
        <v>2</v>
      </c>
      <c r="L593" s="13">
        <f>AD565</f>
        <v>5.3493600000000002E-2</v>
      </c>
    </row>
    <row r="594" spans="1:32" x14ac:dyDescent="0.35">
      <c r="A594" s="4"/>
      <c r="H594" s="13">
        <v>9</v>
      </c>
      <c r="I594" s="13" t="s">
        <v>3</v>
      </c>
      <c r="J594" s="13" t="s">
        <v>0</v>
      </c>
      <c r="L594" s="13">
        <f>AE562</f>
        <v>4.8852000000000001E-3</v>
      </c>
    </row>
    <row r="595" spans="1:32" x14ac:dyDescent="0.35">
      <c r="A595" s="4"/>
      <c r="H595" s="13">
        <v>9</v>
      </c>
      <c r="I595" s="13" t="s">
        <v>3</v>
      </c>
      <c r="J595" s="13" t="s">
        <v>2</v>
      </c>
      <c r="L595" s="13">
        <f>AE563</f>
        <v>8.1547000000000008E-3</v>
      </c>
    </row>
    <row r="596" spans="1:32" x14ac:dyDescent="0.35">
      <c r="A596" s="3"/>
      <c r="H596" s="13">
        <v>9</v>
      </c>
      <c r="I596" s="13" t="s">
        <v>1</v>
      </c>
      <c r="J596" s="13" t="s">
        <v>0</v>
      </c>
      <c r="L596" s="13">
        <f>AE564</f>
        <v>7.6130000000000002E-4</v>
      </c>
    </row>
    <row r="597" spans="1:32" x14ac:dyDescent="0.35">
      <c r="A597" s="3"/>
      <c r="H597" s="13">
        <v>9</v>
      </c>
      <c r="I597" s="13" t="s">
        <v>1</v>
      </c>
      <c r="J597" s="13" t="s">
        <v>2</v>
      </c>
      <c r="L597" s="13">
        <f>AE565</f>
        <v>1.57308E-2</v>
      </c>
    </row>
    <row r="598" spans="1:32" x14ac:dyDescent="0.35">
      <c r="A598" s="4"/>
      <c r="H598" s="13">
        <v>10</v>
      </c>
      <c r="I598" s="13" t="s">
        <v>3</v>
      </c>
      <c r="J598" s="13" t="s">
        <v>0</v>
      </c>
      <c r="L598" s="13">
        <f>AF562</f>
        <v>7.0900000000000002E-5</v>
      </c>
    </row>
    <row r="599" spans="1:32" x14ac:dyDescent="0.35">
      <c r="A599" s="4"/>
      <c r="H599" s="13">
        <v>10</v>
      </c>
      <c r="I599" s="13" t="s">
        <v>3</v>
      </c>
      <c r="J599" s="13" t="s">
        <v>2</v>
      </c>
      <c r="L599" s="13">
        <f t="shared" ref="L599:L601" si="11">AF563</f>
        <v>3.5082999999999998E-3</v>
      </c>
    </row>
    <row r="600" spans="1:32" x14ac:dyDescent="0.35">
      <c r="A600" s="3"/>
      <c r="H600" s="13">
        <v>10</v>
      </c>
      <c r="I600" s="13" t="s">
        <v>1</v>
      </c>
      <c r="J600" s="13" t="s">
        <v>0</v>
      </c>
      <c r="L600" s="13">
        <f t="shared" si="11"/>
        <v>0</v>
      </c>
    </row>
    <row r="601" spans="1:32" x14ac:dyDescent="0.35">
      <c r="A601" s="3"/>
      <c r="H601" s="13">
        <v>10</v>
      </c>
      <c r="I601" s="13" t="s">
        <v>1</v>
      </c>
      <c r="J601" s="13" t="s">
        <v>2</v>
      </c>
      <c r="L601" s="13">
        <f t="shared" si="11"/>
        <v>1.4978099999999999E-2</v>
      </c>
    </row>
    <row r="602" spans="1:32" x14ac:dyDescent="0.35">
      <c r="A602" s="4" t="s">
        <v>14</v>
      </c>
      <c r="D602" t="s">
        <v>31</v>
      </c>
      <c r="E602" t="s">
        <v>5</v>
      </c>
      <c r="F602" t="s">
        <v>33</v>
      </c>
      <c r="G602">
        <v>40</v>
      </c>
      <c r="H602" s="13">
        <v>1</v>
      </c>
      <c r="I602" s="13" t="s">
        <v>3</v>
      </c>
      <c r="J602" s="13" t="s">
        <v>0</v>
      </c>
      <c r="L602" s="13">
        <f>W602</f>
        <v>9.1891399999999998E-2</v>
      </c>
      <c r="P602" t="str">
        <f>[1]Sheet4!B105</f>
        <v> .0918914</v>
      </c>
      <c r="Q602" t="str">
        <f>[1]Sheet4!C105</f>
        <v>  .1067881</v>
      </c>
      <c r="R602" t="str">
        <f>[1]Sheet4!D105</f>
        <v>    .1112782</v>
      </c>
      <c r="S602" t="str">
        <f>[1]Sheet4!E105</f>
        <v>   .112596</v>
      </c>
      <c r="W602">
        <v>9.1891399999999998E-2</v>
      </c>
      <c r="X602">
        <v>0.12884950000000001</v>
      </c>
      <c r="Y602">
        <v>9.3587600000000007E-2</v>
      </c>
      <c r="Z602">
        <v>0.15259310000000001</v>
      </c>
      <c r="AA602">
        <v>8.3342100000000002E-2</v>
      </c>
      <c r="AB602">
        <v>6.4308100000000007E-2</v>
      </c>
      <c r="AC602">
        <v>5.4466399999999998E-2</v>
      </c>
      <c r="AD602">
        <v>4.48712E-2</v>
      </c>
      <c r="AE602">
        <v>3.3542500000000003E-2</v>
      </c>
      <c r="AF602">
        <v>7.5405000000000003E-3</v>
      </c>
    </row>
    <row r="603" spans="1:32" x14ac:dyDescent="0.35">
      <c r="A603" s="4"/>
      <c r="H603" s="13">
        <v>1</v>
      </c>
      <c r="I603" s="13" t="s">
        <v>3</v>
      </c>
      <c r="J603" s="13" t="s">
        <v>2</v>
      </c>
      <c r="L603" s="13">
        <f>W603</f>
        <v>0.1067881</v>
      </c>
      <c r="P603" t="str">
        <f>[1]Sheet4!B106</f>
        <v> .1288495</v>
      </c>
      <c r="Q603" t="str">
        <f>[1]Sheet4!C106</f>
        <v>  .1086006</v>
      </c>
      <c r="R603" t="str">
        <f>[1]Sheet4!D106</f>
        <v>    .1230495</v>
      </c>
      <c r="S603" t="str">
        <f>[1]Sheet4!E106</f>
        <v>  .1288983</v>
      </c>
      <c r="W603">
        <v>0.1067881</v>
      </c>
      <c r="X603">
        <v>0.10860060000000001</v>
      </c>
      <c r="Y603">
        <v>0.14590139999999999</v>
      </c>
      <c r="Z603">
        <v>0.14354620000000001</v>
      </c>
      <c r="AA603">
        <v>0.1010928</v>
      </c>
      <c r="AB603">
        <v>7.6294000000000001E-2</v>
      </c>
      <c r="AC603">
        <v>6.0227299999999998E-2</v>
      </c>
      <c r="AD603">
        <v>3.6824999999999997E-2</v>
      </c>
      <c r="AE603">
        <v>1.9291300000000001E-2</v>
      </c>
      <c r="AF603">
        <v>4.7816999999999998E-3</v>
      </c>
    </row>
    <row r="604" spans="1:32" x14ac:dyDescent="0.35">
      <c r="A604" s="3"/>
      <c r="H604" s="13">
        <v>1</v>
      </c>
      <c r="I604" s="13" t="s">
        <v>1</v>
      </c>
      <c r="J604" s="13" t="s">
        <v>0</v>
      </c>
      <c r="L604" s="13">
        <f>W604</f>
        <v>0.11127819999999999</v>
      </c>
      <c r="P604" t="str">
        <f>[1]Sheet4!B107</f>
        <v> .0935876</v>
      </c>
      <c r="Q604" t="str">
        <f>[1]Sheet4!C107</f>
        <v>  .1459014</v>
      </c>
      <c r="R604" t="str">
        <f>[1]Sheet4!D107</f>
        <v>     .160447</v>
      </c>
      <c r="S604" t="str">
        <f>[1]Sheet4!E107</f>
        <v>  .1174662</v>
      </c>
      <c r="W604">
        <v>0.11127819999999999</v>
      </c>
      <c r="X604">
        <v>0.12304950000000001</v>
      </c>
      <c r="Y604">
        <v>0.16044700000000001</v>
      </c>
      <c r="Z604">
        <v>0.15567919999999999</v>
      </c>
      <c r="AA604">
        <v>0.16381080000000001</v>
      </c>
      <c r="AB604">
        <v>0.1094314</v>
      </c>
      <c r="AC604">
        <v>0.11859</v>
      </c>
      <c r="AD604">
        <v>0.1040874</v>
      </c>
      <c r="AE604">
        <v>6.7040600000000006E-2</v>
      </c>
      <c r="AF604">
        <v>9.0738999999999993E-3</v>
      </c>
    </row>
    <row r="605" spans="1:32" x14ac:dyDescent="0.35">
      <c r="A605" s="3"/>
      <c r="H605" s="13">
        <v>1</v>
      </c>
      <c r="I605" s="13" t="s">
        <v>1</v>
      </c>
      <c r="J605" s="13" t="s">
        <v>2</v>
      </c>
      <c r="L605" s="13">
        <f>W605</f>
        <v>0.112596</v>
      </c>
      <c r="P605" t="str">
        <f>[1]Sheet4!B108</f>
        <v> .1525931</v>
      </c>
      <c r="Q605" t="str">
        <f>[1]Sheet4!C108</f>
        <v>  .1435462</v>
      </c>
      <c r="R605" t="str">
        <f>[1]Sheet4!D108</f>
        <v>    .1556792</v>
      </c>
      <c r="S605" t="str">
        <f>[1]Sheet4!E108</f>
        <v>  .1384532</v>
      </c>
      <c r="W605">
        <v>0.112596</v>
      </c>
      <c r="X605">
        <v>0.12889829999999999</v>
      </c>
      <c r="Y605">
        <v>0.11746620000000001</v>
      </c>
      <c r="Z605">
        <v>0.1384532</v>
      </c>
      <c r="AA605">
        <v>0.1125801</v>
      </c>
      <c r="AB605">
        <v>9.4054200000000004E-2</v>
      </c>
      <c r="AC605">
        <v>9.6534099999999998E-2</v>
      </c>
      <c r="AD605">
        <v>6.9405800000000004E-2</v>
      </c>
      <c r="AE605">
        <v>5.1809899999999999E-2</v>
      </c>
      <c r="AF605">
        <v>8.8237000000000003E-3</v>
      </c>
    </row>
    <row r="606" spans="1:32" x14ac:dyDescent="0.35">
      <c r="A606" s="4"/>
      <c r="H606" s="13">
        <v>2</v>
      </c>
      <c r="I606" s="13" t="s">
        <v>3</v>
      </c>
      <c r="J606" s="13" t="s">
        <v>0</v>
      </c>
      <c r="L606" s="13">
        <f>X602</f>
        <v>0.12884950000000001</v>
      </c>
      <c r="P606" t="str">
        <f>[1]Sheet4!B109</f>
        <v> .0833421</v>
      </c>
      <c r="Q606" t="str">
        <f>[1]Sheet4!C109</f>
        <v>  .1010928</v>
      </c>
      <c r="R606" t="str">
        <f>[1]Sheet4!D109</f>
        <v>    .1638108</v>
      </c>
      <c r="S606" t="str">
        <f>[1]Sheet4!E109</f>
        <v>  .1125801</v>
      </c>
    </row>
    <row r="607" spans="1:32" x14ac:dyDescent="0.35">
      <c r="A607" s="4"/>
      <c r="H607" s="13">
        <v>2</v>
      </c>
      <c r="I607" s="13" t="s">
        <v>3</v>
      </c>
      <c r="J607" s="13" t="s">
        <v>2</v>
      </c>
      <c r="L607" s="13">
        <f>X603</f>
        <v>0.10860060000000001</v>
      </c>
      <c r="P607" t="str">
        <f>[1]Sheet4!B110</f>
        <v> .0643081</v>
      </c>
      <c r="Q607" t="str">
        <f>[1]Sheet4!C110</f>
        <v>   .076294</v>
      </c>
      <c r="R607" t="str">
        <f>[1]Sheet4!D110</f>
        <v>    .1094314</v>
      </c>
      <c r="S607" t="str">
        <f>[1]Sheet4!E110</f>
        <v>  .0940542</v>
      </c>
    </row>
    <row r="608" spans="1:32" x14ac:dyDescent="0.35">
      <c r="A608" s="3"/>
      <c r="H608" s="13">
        <v>2</v>
      </c>
      <c r="I608" s="13" t="s">
        <v>1</v>
      </c>
      <c r="J608" s="13" t="s">
        <v>0</v>
      </c>
      <c r="L608" s="13">
        <f>X604</f>
        <v>0.12304950000000001</v>
      </c>
      <c r="P608" t="str">
        <f>[1]Sheet4!B111</f>
        <v> .0544664</v>
      </c>
      <c r="Q608" t="str">
        <f>[1]Sheet4!C111</f>
        <v>  .0602273</v>
      </c>
      <c r="R608" t="str">
        <f>[1]Sheet4!D111</f>
        <v>      .11859</v>
      </c>
      <c r="S608" t="str">
        <f>[1]Sheet4!E111</f>
        <v>  .0965341</v>
      </c>
    </row>
    <row r="609" spans="1:19" x14ac:dyDescent="0.35">
      <c r="A609" s="3"/>
      <c r="H609" s="13">
        <v>2</v>
      </c>
      <c r="I609" s="13" t="s">
        <v>1</v>
      </c>
      <c r="J609" s="13" t="s">
        <v>2</v>
      </c>
      <c r="L609" s="13">
        <f>X605</f>
        <v>0.12889829999999999</v>
      </c>
      <c r="P609" t="str">
        <f>[1]Sheet4!B112</f>
        <v> .0448712</v>
      </c>
      <c r="Q609" t="str">
        <f>[1]Sheet4!C112</f>
        <v>   .036825</v>
      </c>
      <c r="R609" t="str">
        <f>[1]Sheet4!D112</f>
        <v>    .1040874</v>
      </c>
      <c r="S609" t="str">
        <f>[1]Sheet4!E112</f>
        <v>  .0694058</v>
      </c>
    </row>
    <row r="610" spans="1:19" x14ac:dyDescent="0.35">
      <c r="A610" s="4"/>
      <c r="H610" s="13">
        <v>3</v>
      </c>
      <c r="I610" s="13" t="s">
        <v>3</v>
      </c>
      <c r="J610" s="13" t="s">
        <v>0</v>
      </c>
      <c r="L610" s="13">
        <f>Y602</f>
        <v>9.3587600000000007E-2</v>
      </c>
      <c r="P610" t="str">
        <f>[1]Sheet4!B113</f>
        <v> .0335425</v>
      </c>
      <c r="Q610" t="str">
        <f>[1]Sheet4!C113</f>
        <v>  .0192913</v>
      </c>
      <c r="R610" t="str">
        <f>[1]Sheet4!D113</f>
        <v>    .0670406</v>
      </c>
      <c r="S610" t="str">
        <f>[1]Sheet4!E113</f>
        <v>  .0518099</v>
      </c>
    </row>
    <row r="611" spans="1:19" x14ac:dyDescent="0.35">
      <c r="A611" s="4"/>
      <c r="H611" s="13">
        <v>3</v>
      </c>
      <c r="I611" s="13" t="s">
        <v>3</v>
      </c>
      <c r="J611" s="13" t="s">
        <v>2</v>
      </c>
      <c r="L611" s="13">
        <f>Y603</f>
        <v>0.14590139999999999</v>
      </c>
      <c r="P611" t="str">
        <f>[1]Sheet4!B114</f>
        <v> .0075405</v>
      </c>
      <c r="Q611" t="str">
        <f>[1]Sheet4!C114</f>
        <v>  .0047817</v>
      </c>
      <c r="R611" t="str">
        <f>[1]Sheet4!D114</f>
        <v>    .0090739</v>
      </c>
      <c r="S611" t="str">
        <f>[1]Sheet4!E114</f>
        <v>  .0088237</v>
      </c>
    </row>
    <row r="612" spans="1:19" x14ac:dyDescent="0.35">
      <c r="A612" s="3"/>
      <c r="H612" s="13">
        <v>3</v>
      </c>
      <c r="I612" s="13" t="s">
        <v>1</v>
      </c>
      <c r="J612" s="13" t="s">
        <v>0</v>
      </c>
      <c r="L612" s="13">
        <f>Y604</f>
        <v>0.16044700000000001</v>
      </c>
    </row>
    <row r="613" spans="1:19" x14ac:dyDescent="0.35">
      <c r="A613" s="3"/>
      <c r="H613" s="13">
        <v>3</v>
      </c>
      <c r="I613" s="13" t="s">
        <v>1</v>
      </c>
      <c r="J613" s="13" t="s">
        <v>2</v>
      </c>
      <c r="L613" s="13">
        <f>Y605</f>
        <v>0.11746620000000001</v>
      </c>
    </row>
    <row r="614" spans="1:19" x14ac:dyDescent="0.35">
      <c r="A614" s="4"/>
      <c r="H614" s="13">
        <v>4</v>
      </c>
      <c r="I614" s="13" t="s">
        <v>3</v>
      </c>
      <c r="J614" s="13" t="s">
        <v>0</v>
      </c>
      <c r="L614" s="13">
        <f>Z602</f>
        <v>0.15259310000000001</v>
      </c>
    </row>
    <row r="615" spans="1:19" x14ac:dyDescent="0.35">
      <c r="A615" s="4"/>
      <c r="H615" s="13">
        <v>4</v>
      </c>
      <c r="I615" s="13" t="s">
        <v>3</v>
      </c>
      <c r="J615" s="13" t="s">
        <v>2</v>
      </c>
      <c r="L615" s="13">
        <f>Z603</f>
        <v>0.14354620000000001</v>
      </c>
    </row>
    <row r="616" spans="1:19" x14ac:dyDescent="0.35">
      <c r="A616" s="3"/>
      <c r="H616" s="13">
        <v>4</v>
      </c>
      <c r="I616" s="13" t="s">
        <v>1</v>
      </c>
      <c r="J616" s="13" t="s">
        <v>0</v>
      </c>
      <c r="L616" s="13">
        <f>Z604</f>
        <v>0.15567919999999999</v>
      </c>
    </row>
    <row r="617" spans="1:19" x14ac:dyDescent="0.35">
      <c r="A617" s="3"/>
      <c r="H617" s="13">
        <v>4</v>
      </c>
      <c r="I617" s="13" t="s">
        <v>1</v>
      </c>
      <c r="J617" s="13" t="s">
        <v>2</v>
      </c>
      <c r="L617" s="13">
        <f>Z605</f>
        <v>0.1384532</v>
      </c>
    </row>
    <row r="618" spans="1:19" x14ac:dyDescent="0.35">
      <c r="A618" s="4"/>
      <c r="H618" s="13">
        <v>5</v>
      </c>
      <c r="I618" s="13" t="s">
        <v>3</v>
      </c>
      <c r="J618" s="13" t="s">
        <v>0</v>
      </c>
      <c r="L618" s="13">
        <f>AA602</f>
        <v>8.3342100000000002E-2</v>
      </c>
    </row>
    <row r="619" spans="1:19" x14ac:dyDescent="0.35">
      <c r="A619" s="4"/>
      <c r="H619" s="13">
        <v>5</v>
      </c>
      <c r="I619" s="13" t="s">
        <v>3</v>
      </c>
      <c r="J619" s="13" t="s">
        <v>2</v>
      </c>
      <c r="L619" s="13">
        <f>AA603</f>
        <v>0.1010928</v>
      </c>
    </row>
    <row r="620" spans="1:19" x14ac:dyDescent="0.35">
      <c r="A620" s="3"/>
      <c r="H620" s="13">
        <v>5</v>
      </c>
      <c r="I620" s="13" t="s">
        <v>1</v>
      </c>
      <c r="J620" s="13" t="s">
        <v>0</v>
      </c>
      <c r="L620" s="13">
        <f>AA604</f>
        <v>0.16381080000000001</v>
      </c>
    </row>
    <row r="621" spans="1:19" x14ac:dyDescent="0.35">
      <c r="A621" s="3"/>
      <c r="H621" s="13">
        <v>5</v>
      </c>
      <c r="I621" s="13" t="s">
        <v>1</v>
      </c>
      <c r="J621" s="13" t="s">
        <v>2</v>
      </c>
      <c r="L621" s="13">
        <f>AA605</f>
        <v>0.1125801</v>
      </c>
    </row>
    <row r="622" spans="1:19" x14ac:dyDescent="0.35">
      <c r="A622" s="4"/>
      <c r="H622" s="13">
        <v>6</v>
      </c>
      <c r="I622" s="13" t="s">
        <v>3</v>
      </c>
      <c r="J622" s="13" t="s">
        <v>0</v>
      </c>
      <c r="L622" s="13">
        <f>AB602</f>
        <v>6.4308100000000007E-2</v>
      </c>
    </row>
    <row r="623" spans="1:19" x14ac:dyDescent="0.35">
      <c r="A623" s="4"/>
      <c r="H623" s="13">
        <v>6</v>
      </c>
      <c r="I623" s="13" t="s">
        <v>3</v>
      </c>
      <c r="J623" s="13" t="s">
        <v>2</v>
      </c>
      <c r="L623" s="13">
        <f>AB603</f>
        <v>7.6294000000000001E-2</v>
      </c>
    </row>
    <row r="624" spans="1:19" x14ac:dyDescent="0.35">
      <c r="A624" s="3"/>
      <c r="H624" s="13">
        <v>6</v>
      </c>
      <c r="I624" s="13" t="s">
        <v>1</v>
      </c>
      <c r="J624" s="13" t="s">
        <v>0</v>
      </c>
      <c r="L624" s="13">
        <f>AB604</f>
        <v>0.1094314</v>
      </c>
    </row>
    <row r="625" spans="1:12" x14ac:dyDescent="0.35">
      <c r="A625" s="3"/>
      <c r="H625" s="13">
        <v>6</v>
      </c>
      <c r="I625" s="13" t="s">
        <v>1</v>
      </c>
      <c r="J625" s="13" t="s">
        <v>2</v>
      </c>
      <c r="L625" s="13">
        <f>AB605</f>
        <v>9.4054200000000004E-2</v>
      </c>
    </row>
    <row r="626" spans="1:12" x14ac:dyDescent="0.35">
      <c r="A626" s="4"/>
      <c r="H626" s="13">
        <v>7</v>
      </c>
      <c r="I626" s="13" t="s">
        <v>3</v>
      </c>
      <c r="J626" s="13" t="s">
        <v>0</v>
      </c>
      <c r="L626" s="13">
        <f>AC602</f>
        <v>5.4466399999999998E-2</v>
      </c>
    </row>
    <row r="627" spans="1:12" x14ac:dyDescent="0.35">
      <c r="A627" s="4"/>
      <c r="H627" s="13">
        <v>7</v>
      </c>
      <c r="I627" s="13" t="s">
        <v>3</v>
      </c>
      <c r="J627" s="13" t="s">
        <v>2</v>
      </c>
      <c r="L627" s="13">
        <f>AC603</f>
        <v>6.0227299999999998E-2</v>
      </c>
    </row>
    <row r="628" spans="1:12" x14ac:dyDescent="0.35">
      <c r="A628" s="3"/>
      <c r="H628" s="13">
        <v>7</v>
      </c>
      <c r="I628" s="13" t="s">
        <v>1</v>
      </c>
      <c r="J628" s="13" t="s">
        <v>0</v>
      </c>
      <c r="L628" s="13">
        <f>AC604</f>
        <v>0.11859</v>
      </c>
    </row>
    <row r="629" spans="1:12" x14ac:dyDescent="0.35">
      <c r="A629" s="3"/>
      <c r="H629" s="13">
        <v>7</v>
      </c>
      <c r="I629" s="13" t="s">
        <v>1</v>
      </c>
      <c r="J629" s="13" t="s">
        <v>2</v>
      </c>
      <c r="L629" s="13">
        <f>AC605</f>
        <v>9.6534099999999998E-2</v>
      </c>
    </row>
    <row r="630" spans="1:12" x14ac:dyDescent="0.35">
      <c r="A630" s="4"/>
      <c r="H630" s="13">
        <v>8</v>
      </c>
      <c r="I630" s="13" t="s">
        <v>3</v>
      </c>
      <c r="J630" s="13" t="s">
        <v>0</v>
      </c>
      <c r="L630" s="13">
        <f>AD602</f>
        <v>4.48712E-2</v>
      </c>
    </row>
    <row r="631" spans="1:12" x14ac:dyDescent="0.35">
      <c r="A631" s="4"/>
      <c r="H631" s="13">
        <v>8</v>
      </c>
      <c r="I631" s="13" t="s">
        <v>3</v>
      </c>
      <c r="J631" s="13" t="s">
        <v>2</v>
      </c>
      <c r="L631" s="13">
        <f>AD603</f>
        <v>3.6824999999999997E-2</v>
      </c>
    </row>
    <row r="632" spans="1:12" x14ac:dyDescent="0.35">
      <c r="A632" s="3"/>
      <c r="H632" s="13">
        <v>8</v>
      </c>
      <c r="I632" s="13" t="s">
        <v>1</v>
      </c>
      <c r="J632" s="13" t="s">
        <v>0</v>
      </c>
      <c r="L632" s="13">
        <f>AD604</f>
        <v>0.1040874</v>
      </c>
    </row>
    <row r="633" spans="1:12" x14ac:dyDescent="0.35">
      <c r="A633" s="3"/>
      <c r="H633" s="13">
        <v>8</v>
      </c>
      <c r="I633" s="13" t="s">
        <v>1</v>
      </c>
      <c r="J633" s="13" t="s">
        <v>2</v>
      </c>
      <c r="L633" s="13">
        <f>AD605</f>
        <v>6.9405800000000004E-2</v>
      </c>
    </row>
    <row r="634" spans="1:12" x14ac:dyDescent="0.35">
      <c r="A634" s="4"/>
      <c r="H634" s="13">
        <v>9</v>
      </c>
      <c r="I634" s="13" t="s">
        <v>3</v>
      </c>
      <c r="J634" s="13" t="s">
        <v>0</v>
      </c>
      <c r="L634" s="13">
        <f>AE602</f>
        <v>3.3542500000000003E-2</v>
      </c>
    </row>
    <row r="635" spans="1:12" x14ac:dyDescent="0.35">
      <c r="A635" s="4"/>
      <c r="H635" s="13">
        <v>9</v>
      </c>
      <c r="I635" s="13" t="s">
        <v>3</v>
      </c>
      <c r="J635" s="13" t="s">
        <v>2</v>
      </c>
      <c r="L635" s="13">
        <f>AE603</f>
        <v>1.9291300000000001E-2</v>
      </c>
    </row>
    <row r="636" spans="1:12" x14ac:dyDescent="0.35">
      <c r="A636" s="3"/>
      <c r="H636" s="13">
        <v>9</v>
      </c>
      <c r="I636" s="13" t="s">
        <v>1</v>
      </c>
      <c r="J636" s="13" t="s">
        <v>0</v>
      </c>
      <c r="L636" s="13">
        <f>AE604</f>
        <v>6.7040600000000006E-2</v>
      </c>
    </row>
    <row r="637" spans="1:12" x14ac:dyDescent="0.35">
      <c r="A637" s="3"/>
      <c r="H637" s="13">
        <v>9</v>
      </c>
      <c r="I637" s="13" t="s">
        <v>1</v>
      </c>
      <c r="J637" s="13" t="s">
        <v>2</v>
      </c>
      <c r="L637" s="13">
        <f>AE605</f>
        <v>5.1809899999999999E-2</v>
      </c>
    </row>
    <row r="638" spans="1:12" x14ac:dyDescent="0.35">
      <c r="A638" s="4"/>
      <c r="H638" s="13">
        <v>10</v>
      </c>
      <c r="I638" s="13" t="s">
        <v>3</v>
      </c>
      <c r="J638" s="13" t="s">
        <v>0</v>
      </c>
      <c r="L638" s="13">
        <f>AF602</f>
        <v>7.5405000000000003E-3</v>
      </c>
    </row>
    <row r="639" spans="1:12" x14ac:dyDescent="0.35">
      <c r="A639" s="4"/>
      <c r="H639" s="13">
        <v>10</v>
      </c>
      <c r="I639" s="13" t="s">
        <v>3</v>
      </c>
      <c r="J639" s="13" t="s">
        <v>2</v>
      </c>
      <c r="L639" s="13">
        <f t="shared" ref="L639:L641" si="12">AF603</f>
        <v>4.7816999999999998E-3</v>
      </c>
    </row>
    <row r="640" spans="1:12" x14ac:dyDescent="0.35">
      <c r="A640" s="3"/>
      <c r="H640" s="13">
        <v>10</v>
      </c>
      <c r="I640" s="13" t="s">
        <v>1</v>
      </c>
      <c r="J640" s="13" t="s">
        <v>0</v>
      </c>
      <c r="L640" s="13">
        <f t="shared" si="12"/>
        <v>9.0738999999999993E-3</v>
      </c>
    </row>
    <row r="641" spans="1:32" x14ac:dyDescent="0.35">
      <c r="A641" s="3"/>
      <c r="H641" s="13">
        <v>10</v>
      </c>
      <c r="I641" s="13" t="s">
        <v>1</v>
      </c>
      <c r="J641" s="13" t="s">
        <v>2</v>
      </c>
      <c r="L641" s="13">
        <f t="shared" si="12"/>
        <v>8.8237000000000003E-3</v>
      </c>
    </row>
    <row r="642" spans="1:32" x14ac:dyDescent="0.35">
      <c r="A642" s="4" t="s">
        <v>14</v>
      </c>
      <c r="D642" t="s">
        <v>30</v>
      </c>
      <c r="E642" t="s">
        <v>5</v>
      </c>
      <c r="F642" t="s">
        <v>33</v>
      </c>
      <c r="G642">
        <v>40</v>
      </c>
      <c r="H642" s="13">
        <v>1</v>
      </c>
      <c r="I642" s="13" t="s">
        <v>3</v>
      </c>
      <c r="J642" s="13" t="s">
        <v>0</v>
      </c>
      <c r="L642" s="13">
        <f>W642</f>
        <v>0.51912720000000001</v>
      </c>
      <c r="P642" t="str">
        <f>[1]Sheet4!B124</f>
        <v> .5191272</v>
      </c>
      <c r="Q642" t="str">
        <f>[1]Sheet4!C124</f>
        <v>  .5440938</v>
      </c>
      <c r="R642" t="str">
        <f>[1]Sheet4!D124</f>
        <v>    .3809658</v>
      </c>
      <c r="S642" t="str">
        <f>[1]Sheet4!E124</f>
        <v>  .4390749</v>
      </c>
      <c r="W642">
        <v>0.51912720000000001</v>
      </c>
      <c r="X642">
        <v>0.47709220000000002</v>
      </c>
      <c r="Y642">
        <v>0.47670499999999999</v>
      </c>
      <c r="Z642">
        <v>0.4752169</v>
      </c>
      <c r="AA642">
        <v>0.56592050000000005</v>
      </c>
      <c r="AB642">
        <v>0.57812909999999995</v>
      </c>
      <c r="AC642">
        <v>0.68169049999999998</v>
      </c>
      <c r="AD642">
        <v>0.68884400000000001</v>
      </c>
      <c r="AE642">
        <v>0.67528869999999996</v>
      </c>
      <c r="AF642">
        <v>0.57920280000000002</v>
      </c>
    </row>
    <row r="643" spans="1:32" x14ac:dyDescent="0.35">
      <c r="A643" s="4"/>
      <c r="H643" s="13">
        <v>1</v>
      </c>
      <c r="I643" s="13" t="s">
        <v>3</v>
      </c>
      <c r="J643" s="13" t="s">
        <v>2</v>
      </c>
      <c r="L643" s="13">
        <f>W643</f>
        <v>0.54409379999999996</v>
      </c>
      <c r="P643" t="str">
        <f>[1]Sheet4!B125</f>
        <v> .4770922</v>
      </c>
      <c r="Q643" t="str">
        <f>[1]Sheet4!C125</f>
        <v>  .5397768</v>
      </c>
      <c r="R643" t="str">
        <f>[1]Sheet4!D125</f>
        <v>    .3291599</v>
      </c>
      <c r="S643" t="str">
        <f>[1]Sheet4!E125</f>
        <v>   .424956</v>
      </c>
      <c r="W643">
        <v>0.54409379999999996</v>
      </c>
      <c r="X643">
        <v>0.53977679999999995</v>
      </c>
      <c r="Y643">
        <v>0.51778599999999997</v>
      </c>
      <c r="Z643">
        <v>0.55536039999999998</v>
      </c>
      <c r="AA643">
        <v>0.61997720000000001</v>
      </c>
      <c r="AB643">
        <v>0.625471</v>
      </c>
      <c r="AC643">
        <v>0.62508209999999997</v>
      </c>
      <c r="AD643">
        <v>0.66913310000000004</v>
      </c>
      <c r="AE643">
        <v>0.64095570000000002</v>
      </c>
      <c r="AF643">
        <v>0.54628699999999997</v>
      </c>
    </row>
    <row r="644" spans="1:32" x14ac:dyDescent="0.35">
      <c r="A644" s="3"/>
      <c r="H644" s="13">
        <v>1</v>
      </c>
      <c r="I644" s="13" t="s">
        <v>1</v>
      </c>
      <c r="J644" s="13" t="s">
        <v>0</v>
      </c>
      <c r="L644" s="13">
        <f>W644</f>
        <v>0.38096580000000002</v>
      </c>
      <c r="P644" t="str">
        <f>[1]Sheet4!B126</f>
        <v>  .476705</v>
      </c>
      <c r="Q644" t="str">
        <f>[1]Sheet4!C126</f>
        <v>   .517786</v>
      </c>
      <c r="R644" t="str">
        <f>[1]Sheet4!D126</f>
        <v>    .3247711</v>
      </c>
      <c r="S644" t="str">
        <f>[1]Sheet4!E126</f>
        <v>  .3984894</v>
      </c>
      <c r="W644">
        <v>0.38096580000000002</v>
      </c>
      <c r="X644">
        <v>0.32915990000000001</v>
      </c>
      <c r="Y644">
        <v>0.32477109999999998</v>
      </c>
      <c r="Z644">
        <v>0.41084690000000001</v>
      </c>
      <c r="AA644">
        <v>0.4206511</v>
      </c>
      <c r="AB644">
        <v>0.50067879999999998</v>
      </c>
      <c r="AC644">
        <v>0.63291710000000001</v>
      </c>
      <c r="AD644">
        <v>0.63370939999999998</v>
      </c>
      <c r="AE644">
        <v>0.61846140000000005</v>
      </c>
      <c r="AF644">
        <v>0.75005129999999998</v>
      </c>
    </row>
    <row r="645" spans="1:32" x14ac:dyDescent="0.35">
      <c r="A645" s="3"/>
      <c r="H645" s="13">
        <v>1</v>
      </c>
      <c r="I645" s="13" t="s">
        <v>1</v>
      </c>
      <c r="J645" s="13" t="s">
        <v>2</v>
      </c>
      <c r="L645" s="13">
        <f>W645</f>
        <v>0.43907489999999999</v>
      </c>
      <c r="P645" t="str">
        <f>[1]Sheet4!B127</f>
        <v> .4752169</v>
      </c>
      <c r="Q645" t="str">
        <f>[1]Sheet4!C127</f>
        <v>  .5553604</v>
      </c>
      <c r="R645" t="str">
        <f>[1]Sheet4!D127</f>
        <v>    .4108469</v>
      </c>
      <c r="S645" t="str">
        <f>[1]Sheet4!E127</f>
        <v>  .4099291</v>
      </c>
      <c r="W645">
        <v>0.43907489999999999</v>
      </c>
      <c r="X645">
        <v>0.424956</v>
      </c>
      <c r="Y645">
        <v>0.39848939999999999</v>
      </c>
      <c r="Z645">
        <v>0.40992909999999999</v>
      </c>
      <c r="AA645">
        <v>0.45113579999999998</v>
      </c>
      <c r="AB645">
        <v>0.52639809999999998</v>
      </c>
      <c r="AC645">
        <v>0.53058360000000004</v>
      </c>
      <c r="AD645">
        <v>0.55915219999999999</v>
      </c>
      <c r="AE645">
        <v>0.60141299999999998</v>
      </c>
      <c r="AF645">
        <v>0.49640699999999999</v>
      </c>
    </row>
    <row r="646" spans="1:32" x14ac:dyDescent="0.35">
      <c r="A646" s="4"/>
      <c r="H646" s="13">
        <v>2</v>
      </c>
      <c r="I646" s="13" t="s">
        <v>3</v>
      </c>
      <c r="J646" s="13" t="s">
        <v>0</v>
      </c>
      <c r="L646" s="13">
        <f>X642</f>
        <v>0.47709220000000002</v>
      </c>
      <c r="P646" t="str">
        <f>[1]Sheet4!B128</f>
        <v> .5659205</v>
      </c>
      <c r="Q646" t="str">
        <f>[1]Sheet4!C128</f>
        <v>  .6199772</v>
      </c>
      <c r="R646" t="str">
        <f>[1]Sheet4!D128</f>
        <v>    .4206511</v>
      </c>
      <c r="S646" t="str">
        <f>[1]Sheet4!E128</f>
        <v>  .4511358</v>
      </c>
    </row>
    <row r="647" spans="1:32" x14ac:dyDescent="0.35">
      <c r="A647" s="4"/>
      <c r="H647" s="13">
        <v>2</v>
      </c>
      <c r="I647" s="13" t="s">
        <v>3</v>
      </c>
      <c r="J647" s="13" t="s">
        <v>2</v>
      </c>
      <c r="L647" s="13">
        <f>X643</f>
        <v>0.53977679999999995</v>
      </c>
      <c r="P647" t="str">
        <f>[1]Sheet4!B129</f>
        <v> .5781291</v>
      </c>
      <c r="Q647" t="str">
        <f>[1]Sheet4!C129</f>
        <v>   .625471</v>
      </c>
      <c r="R647" t="str">
        <f>[1]Sheet4!D129</f>
        <v>    .5006788</v>
      </c>
      <c r="S647" t="str">
        <f>[1]Sheet4!E129</f>
        <v>  .5263981</v>
      </c>
    </row>
    <row r="648" spans="1:32" x14ac:dyDescent="0.35">
      <c r="A648" s="3"/>
      <c r="H648" s="13">
        <v>2</v>
      </c>
      <c r="I648" s="13" t="s">
        <v>1</v>
      </c>
      <c r="J648" s="13" t="s">
        <v>0</v>
      </c>
      <c r="L648" s="13">
        <f>X644</f>
        <v>0.32915990000000001</v>
      </c>
      <c r="P648" t="str">
        <f>[1]Sheet4!B130</f>
        <v> .6816905</v>
      </c>
      <c r="Q648" t="str">
        <f>[1]Sheet4!C130</f>
        <v>  .6250821</v>
      </c>
      <c r="R648" t="str">
        <f>[1]Sheet4!D130</f>
        <v>    .6329171</v>
      </c>
      <c r="S648" t="str">
        <f>[1]Sheet4!E130</f>
        <v>  .5305836</v>
      </c>
    </row>
    <row r="649" spans="1:32" x14ac:dyDescent="0.35">
      <c r="A649" s="3"/>
      <c r="H649" s="13">
        <v>2</v>
      </c>
      <c r="I649" s="13" t="s">
        <v>1</v>
      </c>
      <c r="J649" s="13" t="s">
        <v>2</v>
      </c>
      <c r="L649" s="13">
        <f>X645</f>
        <v>0.424956</v>
      </c>
      <c r="P649" t="str">
        <f>[1]Sheet4!B131</f>
        <v>  .688844</v>
      </c>
      <c r="Q649" t="str">
        <f>[1]Sheet4!C131</f>
        <v>  .6691331</v>
      </c>
      <c r="R649" t="str">
        <f>[1]Sheet4!D131</f>
        <v>    .6337094</v>
      </c>
      <c r="S649" t="str">
        <f>[1]Sheet4!E131</f>
        <v>  .5591522</v>
      </c>
    </row>
    <row r="650" spans="1:32" x14ac:dyDescent="0.35">
      <c r="A650" s="4"/>
      <c r="H650" s="13">
        <v>3</v>
      </c>
      <c r="I650" s="13" t="s">
        <v>3</v>
      </c>
      <c r="J650" s="13" t="s">
        <v>0</v>
      </c>
      <c r="L650" s="13">
        <f>Y642</f>
        <v>0.47670499999999999</v>
      </c>
      <c r="P650" t="str">
        <f>[1]Sheet4!B132</f>
        <v> .6752887</v>
      </c>
      <c r="Q650" t="str">
        <f>[1]Sheet4!C132</f>
        <v>  .6409557</v>
      </c>
      <c r="R650" t="str">
        <f>[1]Sheet4!D132</f>
        <v>    .6184614</v>
      </c>
      <c r="S650" t="str">
        <f>[1]Sheet4!E132</f>
        <v>   .601413</v>
      </c>
    </row>
    <row r="651" spans="1:32" x14ac:dyDescent="0.35">
      <c r="A651" s="4"/>
      <c r="H651" s="13">
        <v>3</v>
      </c>
      <c r="I651" s="13" t="s">
        <v>3</v>
      </c>
      <c r="J651" s="13" t="s">
        <v>2</v>
      </c>
      <c r="L651" s="13">
        <f>Y643</f>
        <v>0.51778599999999997</v>
      </c>
      <c r="P651" t="str">
        <f>[1]Sheet4!B133</f>
        <v> .5792028</v>
      </c>
      <c r="Q651" t="str">
        <f>[1]Sheet4!C133</f>
        <v>   .546287</v>
      </c>
      <c r="R651" t="str">
        <f>[1]Sheet4!D133</f>
        <v>    .7500513</v>
      </c>
      <c r="S651" t="str">
        <f>[1]Sheet4!E133</f>
        <v>   .496407</v>
      </c>
    </row>
    <row r="652" spans="1:32" x14ac:dyDescent="0.35">
      <c r="A652" s="3"/>
      <c r="H652" s="13">
        <v>3</v>
      </c>
      <c r="I652" s="13" t="s">
        <v>1</v>
      </c>
      <c r="J652" s="13" t="s">
        <v>0</v>
      </c>
      <c r="L652" s="13">
        <f>Y644</f>
        <v>0.32477109999999998</v>
      </c>
    </row>
    <row r="653" spans="1:32" x14ac:dyDescent="0.35">
      <c r="A653" s="3"/>
      <c r="H653" s="13">
        <v>3</v>
      </c>
      <c r="I653" s="13" t="s">
        <v>1</v>
      </c>
      <c r="J653" s="13" t="s">
        <v>2</v>
      </c>
      <c r="L653" s="13">
        <f>Y645</f>
        <v>0.39848939999999999</v>
      </c>
    </row>
    <row r="654" spans="1:32" x14ac:dyDescent="0.35">
      <c r="A654" s="4"/>
      <c r="H654" s="13">
        <v>4</v>
      </c>
      <c r="I654" s="13" t="s">
        <v>3</v>
      </c>
      <c r="J654" s="13" t="s">
        <v>0</v>
      </c>
      <c r="L654" s="13">
        <f>Z642</f>
        <v>0.4752169</v>
      </c>
    </row>
    <row r="655" spans="1:32" x14ac:dyDescent="0.35">
      <c r="A655" s="4"/>
      <c r="H655" s="13">
        <v>4</v>
      </c>
      <c r="I655" s="13" t="s">
        <v>3</v>
      </c>
      <c r="J655" s="13" t="s">
        <v>2</v>
      </c>
      <c r="L655" s="13">
        <f>Z643</f>
        <v>0.55536039999999998</v>
      </c>
    </row>
    <row r="656" spans="1:32" x14ac:dyDescent="0.35">
      <c r="A656" s="3"/>
      <c r="H656" s="13">
        <v>4</v>
      </c>
      <c r="I656" s="13" t="s">
        <v>1</v>
      </c>
      <c r="J656" s="13" t="s">
        <v>0</v>
      </c>
      <c r="L656" s="13">
        <f>Z644</f>
        <v>0.41084690000000001</v>
      </c>
    </row>
    <row r="657" spans="1:12" x14ac:dyDescent="0.35">
      <c r="A657" s="3"/>
      <c r="H657" s="13">
        <v>4</v>
      </c>
      <c r="I657" s="13" t="s">
        <v>1</v>
      </c>
      <c r="J657" s="13" t="s">
        <v>2</v>
      </c>
      <c r="L657" s="13">
        <f>Z645</f>
        <v>0.40992909999999999</v>
      </c>
    </row>
    <row r="658" spans="1:12" x14ac:dyDescent="0.35">
      <c r="A658" s="4"/>
      <c r="H658" s="13">
        <v>5</v>
      </c>
      <c r="I658" s="13" t="s">
        <v>3</v>
      </c>
      <c r="J658" s="13" t="s">
        <v>0</v>
      </c>
      <c r="L658" s="13">
        <f>AA642</f>
        <v>0.56592050000000005</v>
      </c>
    </row>
    <row r="659" spans="1:12" x14ac:dyDescent="0.35">
      <c r="A659" s="4"/>
      <c r="H659" s="13">
        <v>5</v>
      </c>
      <c r="I659" s="13" t="s">
        <v>3</v>
      </c>
      <c r="J659" s="13" t="s">
        <v>2</v>
      </c>
      <c r="L659" s="13">
        <f>AA643</f>
        <v>0.61997720000000001</v>
      </c>
    </row>
    <row r="660" spans="1:12" x14ac:dyDescent="0.35">
      <c r="A660" s="3"/>
      <c r="H660" s="13">
        <v>5</v>
      </c>
      <c r="I660" s="13" t="s">
        <v>1</v>
      </c>
      <c r="J660" s="13" t="s">
        <v>0</v>
      </c>
      <c r="L660" s="13">
        <f>AA644</f>
        <v>0.4206511</v>
      </c>
    </row>
    <row r="661" spans="1:12" x14ac:dyDescent="0.35">
      <c r="A661" s="3"/>
      <c r="H661" s="13">
        <v>5</v>
      </c>
      <c r="I661" s="13" t="s">
        <v>1</v>
      </c>
      <c r="J661" s="13" t="s">
        <v>2</v>
      </c>
      <c r="L661" s="13">
        <f>AA645</f>
        <v>0.45113579999999998</v>
      </c>
    </row>
    <row r="662" spans="1:12" x14ac:dyDescent="0.35">
      <c r="A662" s="4"/>
      <c r="H662" s="13">
        <v>6</v>
      </c>
      <c r="I662" s="13" t="s">
        <v>3</v>
      </c>
      <c r="J662" s="13" t="s">
        <v>0</v>
      </c>
      <c r="L662" s="13">
        <f>AB642</f>
        <v>0.57812909999999995</v>
      </c>
    </row>
    <row r="663" spans="1:12" x14ac:dyDescent="0.35">
      <c r="A663" s="4"/>
      <c r="H663" s="13">
        <v>6</v>
      </c>
      <c r="I663" s="13" t="s">
        <v>3</v>
      </c>
      <c r="J663" s="13" t="s">
        <v>2</v>
      </c>
      <c r="L663" s="13">
        <f>AB643</f>
        <v>0.625471</v>
      </c>
    </row>
    <row r="664" spans="1:12" x14ac:dyDescent="0.35">
      <c r="A664" s="3"/>
      <c r="H664" s="13">
        <v>6</v>
      </c>
      <c r="I664" s="13" t="s">
        <v>1</v>
      </c>
      <c r="J664" s="13" t="s">
        <v>0</v>
      </c>
      <c r="L664" s="13">
        <f>AB644</f>
        <v>0.50067879999999998</v>
      </c>
    </row>
    <row r="665" spans="1:12" x14ac:dyDescent="0.35">
      <c r="A665" s="3"/>
      <c r="H665" s="13">
        <v>6</v>
      </c>
      <c r="I665" s="13" t="s">
        <v>1</v>
      </c>
      <c r="J665" s="13" t="s">
        <v>2</v>
      </c>
      <c r="L665" s="13">
        <f>AB645</f>
        <v>0.52639809999999998</v>
      </c>
    </row>
    <row r="666" spans="1:12" x14ac:dyDescent="0.35">
      <c r="A666" s="4"/>
      <c r="H666" s="13">
        <v>7</v>
      </c>
      <c r="I666" s="13" t="s">
        <v>3</v>
      </c>
      <c r="J666" s="13" t="s">
        <v>0</v>
      </c>
      <c r="L666" s="13">
        <f>AC642</f>
        <v>0.68169049999999998</v>
      </c>
    </row>
    <row r="667" spans="1:12" x14ac:dyDescent="0.35">
      <c r="A667" s="4"/>
      <c r="H667" s="13">
        <v>7</v>
      </c>
      <c r="I667" s="13" t="s">
        <v>3</v>
      </c>
      <c r="J667" s="13" t="s">
        <v>2</v>
      </c>
      <c r="L667" s="13">
        <f>AC643</f>
        <v>0.62508209999999997</v>
      </c>
    </row>
    <row r="668" spans="1:12" x14ac:dyDescent="0.35">
      <c r="A668" s="3"/>
      <c r="H668" s="13">
        <v>7</v>
      </c>
      <c r="I668" s="13" t="s">
        <v>1</v>
      </c>
      <c r="J668" s="13" t="s">
        <v>0</v>
      </c>
      <c r="L668" s="13">
        <f>AC644</f>
        <v>0.63291710000000001</v>
      </c>
    </row>
    <row r="669" spans="1:12" x14ac:dyDescent="0.35">
      <c r="A669" s="3"/>
      <c r="H669" s="13">
        <v>7</v>
      </c>
      <c r="I669" s="13" t="s">
        <v>1</v>
      </c>
      <c r="J669" s="13" t="s">
        <v>2</v>
      </c>
      <c r="L669" s="13">
        <f>AC645</f>
        <v>0.53058360000000004</v>
      </c>
    </row>
    <row r="670" spans="1:12" x14ac:dyDescent="0.35">
      <c r="A670" s="4"/>
      <c r="H670" s="13">
        <v>8</v>
      </c>
      <c r="I670" s="13" t="s">
        <v>3</v>
      </c>
      <c r="J670" s="13" t="s">
        <v>0</v>
      </c>
      <c r="L670" s="13">
        <f>AD642</f>
        <v>0.68884400000000001</v>
      </c>
    </row>
    <row r="671" spans="1:12" x14ac:dyDescent="0.35">
      <c r="A671" s="4"/>
      <c r="H671" s="13">
        <v>8</v>
      </c>
      <c r="I671" s="13" t="s">
        <v>3</v>
      </c>
      <c r="J671" s="13" t="s">
        <v>2</v>
      </c>
      <c r="L671" s="13">
        <f>AD643</f>
        <v>0.66913310000000004</v>
      </c>
    </row>
    <row r="672" spans="1:12" x14ac:dyDescent="0.35">
      <c r="A672" s="3"/>
      <c r="H672" s="13">
        <v>8</v>
      </c>
      <c r="I672" s="13" t="s">
        <v>1</v>
      </c>
      <c r="J672" s="13" t="s">
        <v>0</v>
      </c>
      <c r="L672" s="13">
        <f>AD644</f>
        <v>0.63370939999999998</v>
      </c>
    </row>
    <row r="673" spans="1:32" x14ac:dyDescent="0.35">
      <c r="A673" s="3"/>
      <c r="H673" s="13">
        <v>8</v>
      </c>
      <c r="I673" s="13" t="s">
        <v>1</v>
      </c>
      <c r="J673" s="13" t="s">
        <v>2</v>
      </c>
      <c r="L673" s="13">
        <f>AD645</f>
        <v>0.55915219999999999</v>
      </c>
    </row>
    <row r="674" spans="1:32" x14ac:dyDescent="0.35">
      <c r="A674" s="4"/>
      <c r="H674" s="13">
        <v>9</v>
      </c>
      <c r="I674" s="13" t="s">
        <v>3</v>
      </c>
      <c r="J674" s="13" t="s">
        <v>0</v>
      </c>
      <c r="L674" s="13">
        <f>AE642</f>
        <v>0.67528869999999996</v>
      </c>
    </row>
    <row r="675" spans="1:32" x14ac:dyDescent="0.35">
      <c r="A675" s="4"/>
      <c r="H675" s="13">
        <v>9</v>
      </c>
      <c r="I675" s="13" t="s">
        <v>3</v>
      </c>
      <c r="J675" s="13" t="s">
        <v>2</v>
      </c>
      <c r="L675" s="13">
        <f>AE643</f>
        <v>0.64095570000000002</v>
      </c>
    </row>
    <row r="676" spans="1:32" x14ac:dyDescent="0.35">
      <c r="A676" s="3"/>
      <c r="H676" s="13">
        <v>9</v>
      </c>
      <c r="I676" s="13" t="s">
        <v>1</v>
      </c>
      <c r="J676" s="13" t="s">
        <v>0</v>
      </c>
      <c r="L676" s="13">
        <f>AE644</f>
        <v>0.61846140000000005</v>
      </c>
    </row>
    <row r="677" spans="1:32" x14ac:dyDescent="0.35">
      <c r="A677" s="3"/>
      <c r="H677" s="13">
        <v>9</v>
      </c>
      <c r="I677" s="13" t="s">
        <v>1</v>
      </c>
      <c r="J677" s="13" t="s">
        <v>2</v>
      </c>
      <c r="L677" s="13">
        <f>AE645</f>
        <v>0.60141299999999998</v>
      </c>
    </row>
    <row r="678" spans="1:32" x14ac:dyDescent="0.35">
      <c r="A678" s="4"/>
      <c r="H678" s="13">
        <v>10</v>
      </c>
      <c r="I678" s="13" t="s">
        <v>3</v>
      </c>
      <c r="J678" s="13" t="s">
        <v>0</v>
      </c>
      <c r="L678" s="13">
        <f>AF642</f>
        <v>0.57920280000000002</v>
      </c>
    </row>
    <row r="679" spans="1:32" x14ac:dyDescent="0.35">
      <c r="A679" s="4"/>
      <c r="H679" s="13">
        <v>10</v>
      </c>
      <c r="I679" s="13" t="s">
        <v>3</v>
      </c>
      <c r="J679" s="13" t="s">
        <v>2</v>
      </c>
      <c r="L679" s="13">
        <f t="shared" ref="L679:L681" si="13">AF643</f>
        <v>0.54628699999999997</v>
      </c>
    </row>
    <row r="680" spans="1:32" x14ac:dyDescent="0.35">
      <c r="A680" s="3"/>
      <c r="H680" s="13">
        <v>10</v>
      </c>
      <c r="I680" s="13" t="s">
        <v>1</v>
      </c>
      <c r="J680" s="13" t="s">
        <v>0</v>
      </c>
      <c r="L680" s="13">
        <f t="shared" si="13"/>
        <v>0.75005129999999998</v>
      </c>
    </row>
    <row r="681" spans="1:32" x14ac:dyDescent="0.35">
      <c r="A681" s="3"/>
      <c r="H681" s="13">
        <v>10</v>
      </c>
      <c r="I681" s="13" t="s">
        <v>1</v>
      </c>
      <c r="J681" s="13" t="s">
        <v>2</v>
      </c>
      <c r="L681" s="13">
        <f t="shared" si="13"/>
        <v>0.49640699999999999</v>
      </c>
    </row>
    <row r="682" spans="1:32" x14ac:dyDescent="0.35">
      <c r="A682" s="4" t="s">
        <v>14</v>
      </c>
      <c r="D682" t="s">
        <v>29</v>
      </c>
      <c r="E682" t="s">
        <v>5</v>
      </c>
      <c r="F682" t="s">
        <v>33</v>
      </c>
      <c r="G682">
        <v>40</v>
      </c>
      <c r="H682" s="13">
        <v>1</v>
      </c>
      <c r="I682" s="13" t="s">
        <v>3</v>
      </c>
      <c r="J682" s="13" t="s">
        <v>0</v>
      </c>
      <c r="L682" s="13">
        <f>W682</f>
        <v>1.4497599999999999E-2</v>
      </c>
      <c r="P682" t="str">
        <f>[1]Sheet4!B143</f>
        <v> .0144976</v>
      </c>
      <c r="Q682" t="str">
        <f>[1]Sheet4!C143</f>
        <v>  .0081016</v>
      </c>
      <c r="R682" t="str">
        <f>[1]Sheet4!D143</f>
        <v>    .0005501</v>
      </c>
      <c r="S682" t="str">
        <f>[1]Sheet4!E143</f>
        <v>  .0006319</v>
      </c>
      <c r="W682">
        <v>1.4497599999999999E-2</v>
      </c>
      <c r="X682">
        <v>4.1339999999999997E-3</v>
      </c>
      <c r="Y682">
        <v>1.9143000000000001E-3</v>
      </c>
      <c r="Z682">
        <v>4.9255000000000002E-3</v>
      </c>
      <c r="AA682">
        <v>1.07163E-2</v>
      </c>
      <c r="AB682">
        <v>3.4351E-3</v>
      </c>
      <c r="AC682">
        <v>8.9253000000000006E-3</v>
      </c>
      <c r="AD682">
        <v>2.9763299999999999E-2</v>
      </c>
      <c r="AE682">
        <v>7.1866200000000005E-2</v>
      </c>
      <c r="AF682">
        <v>0.2158178</v>
      </c>
    </row>
    <row r="683" spans="1:32" x14ac:dyDescent="0.35">
      <c r="A683" s="4"/>
      <c r="H683" s="13">
        <v>1</v>
      </c>
      <c r="I683" s="13" t="s">
        <v>3</v>
      </c>
      <c r="J683" s="13" t="s">
        <v>2</v>
      </c>
      <c r="L683" s="13">
        <f>W683</f>
        <v>8.1016000000000005E-3</v>
      </c>
      <c r="P683" t="str">
        <f>[1]Sheet4!B144</f>
        <v>  .004134</v>
      </c>
      <c r="Q683" t="str">
        <f>[1]Sheet4!C144</f>
        <v>         0</v>
      </c>
      <c r="R683" t="str">
        <f>[1]Sheet4!D144</f>
        <v>    .0019881</v>
      </c>
      <c r="S683" t="str">
        <f>[1]Sheet4!E144</f>
        <v>   .000428</v>
      </c>
      <c r="W683">
        <v>8.1016000000000005E-3</v>
      </c>
      <c r="X683">
        <v>0</v>
      </c>
      <c r="Y683">
        <v>3.5171999999999998E-3</v>
      </c>
      <c r="Z683">
        <v>8.7975999999999992E-3</v>
      </c>
      <c r="AA683">
        <v>2.1771999999999998E-3</v>
      </c>
      <c r="AB683">
        <v>5.7134000000000004E-3</v>
      </c>
      <c r="AC683">
        <v>1.44875E-2</v>
      </c>
      <c r="AD683">
        <v>4.1737900000000001E-2</v>
      </c>
      <c r="AE683">
        <v>8.2528199999999996E-2</v>
      </c>
      <c r="AF683">
        <v>0.2373507</v>
      </c>
    </row>
    <row r="684" spans="1:32" x14ac:dyDescent="0.35">
      <c r="A684" s="3"/>
      <c r="H684" s="13">
        <v>1</v>
      </c>
      <c r="I684" s="13" t="s">
        <v>1</v>
      </c>
      <c r="J684" s="13" t="s">
        <v>0</v>
      </c>
      <c r="L684" s="13">
        <f>W684</f>
        <v>5.5009999999999998E-4</v>
      </c>
      <c r="P684" t="str">
        <f>[1]Sheet4!B145</f>
        <v> .0019143</v>
      </c>
      <c r="Q684" t="str">
        <f>[1]Sheet4!C145</f>
        <v>  .0035172</v>
      </c>
      <c r="R684" t="str">
        <f>[1]Sheet4!D145</f>
        <v>    .0005795</v>
      </c>
      <c r="S684" t="str">
        <f>[1]Sheet4!E145</f>
        <v>  .0067854</v>
      </c>
      <c r="W684">
        <v>5.5009999999999998E-4</v>
      </c>
      <c r="X684">
        <v>1.9881E-3</v>
      </c>
      <c r="Y684">
        <v>5.7950000000000005E-4</v>
      </c>
      <c r="Z684">
        <v>1.5173000000000001E-3</v>
      </c>
      <c r="AA684">
        <v>3.3040000000000001E-4</v>
      </c>
      <c r="AB684">
        <v>3.9386999999999998E-3</v>
      </c>
      <c r="AC684">
        <v>5.3210999999999996E-3</v>
      </c>
      <c r="AD684">
        <v>1.6917600000000001E-2</v>
      </c>
      <c r="AE684">
        <v>2.5211600000000001E-2</v>
      </c>
      <c r="AF684">
        <v>8.8518399999999997E-2</v>
      </c>
    </row>
    <row r="685" spans="1:32" x14ac:dyDescent="0.35">
      <c r="A685" s="3"/>
      <c r="H685" s="13">
        <v>1</v>
      </c>
      <c r="I685" s="13" t="s">
        <v>1</v>
      </c>
      <c r="J685" s="13" t="s">
        <v>2</v>
      </c>
      <c r="L685" s="13">
        <f>W685</f>
        <v>6.3190000000000002E-4</v>
      </c>
      <c r="P685" t="str">
        <f>[1]Sheet4!B146</f>
        <v> .0049255</v>
      </c>
      <c r="Q685" t="str">
        <f>[1]Sheet4!C146</f>
        <v>  .0087976</v>
      </c>
      <c r="R685" t="str">
        <f>[1]Sheet4!D146</f>
        <v>    .0015173</v>
      </c>
      <c r="S685" t="str">
        <f>[1]Sheet4!E146</f>
        <v>  .0014047</v>
      </c>
      <c r="W685">
        <v>6.3190000000000002E-4</v>
      </c>
      <c r="X685">
        <v>4.28E-4</v>
      </c>
      <c r="Y685">
        <v>6.7853999999999996E-3</v>
      </c>
      <c r="Z685">
        <v>1.4047E-3</v>
      </c>
      <c r="AA685">
        <v>4.2794E-3</v>
      </c>
      <c r="AB685">
        <v>2.5482999999999999E-3</v>
      </c>
      <c r="AC685">
        <v>6.8567999999999997E-3</v>
      </c>
      <c r="AD685">
        <v>2.3081600000000001E-2</v>
      </c>
      <c r="AE685">
        <v>6.8947700000000001E-2</v>
      </c>
      <c r="AF685">
        <v>0.30250969999999999</v>
      </c>
    </row>
    <row r="686" spans="1:32" x14ac:dyDescent="0.35">
      <c r="A686" s="4"/>
      <c r="H686" s="13">
        <v>2</v>
      </c>
      <c r="I686" s="13" t="s">
        <v>3</v>
      </c>
      <c r="J686" s="13" t="s">
        <v>0</v>
      </c>
      <c r="L686" s="13">
        <f>X682</f>
        <v>4.1339999999999997E-3</v>
      </c>
      <c r="P686" t="str">
        <f>[1]Sheet4!B147</f>
        <v> .0107163</v>
      </c>
      <c r="Q686" t="str">
        <f>[1]Sheet4!C147</f>
        <v>  .0021772</v>
      </c>
      <c r="R686" t="str">
        <f>[1]Sheet4!D147</f>
        <v>    .0003304</v>
      </c>
      <c r="S686" t="str">
        <f>[1]Sheet4!E147</f>
        <v>  .0042794</v>
      </c>
    </row>
    <row r="687" spans="1:32" x14ac:dyDescent="0.35">
      <c r="A687" s="4"/>
      <c r="H687" s="13">
        <v>2</v>
      </c>
      <c r="I687" s="13" t="s">
        <v>3</v>
      </c>
      <c r="J687" s="13" t="s">
        <v>2</v>
      </c>
      <c r="L687" s="13">
        <f>X683</f>
        <v>0</v>
      </c>
      <c r="P687" t="str">
        <f>[1]Sheet4!B148</f>
        <v> .0034351</v>
      </c>
      <c r="Q687" t="str">
        <f>[1]Sheet4!C148</f>
        <v>  .0057134</v>
      </c>
      <c r="R687" t="str">
        <f>[1]Sheet4!D148</f>
        <v>    .0039387</v>
      </c>
      <c r="S687" t="str">
        <f>[1]Sheet4!E148</f>
        <v>  .0025483</v>
      </c>
    </row>
    <row r="688" spans="1:32" x14ac:dyDescent="0.35">
      <c r="A688" s="3"/>
      <c r="H688" s="13">
        <v>2</v>
      </c>
      <c r="I688" s="13" t="s">
        <v>1</v>
      </c>
      <c r="J688" s="13" t="s">
        <v>0</v>
      </c>
      <c r="L688" s="13">
        <f>X684</f>
        <v>1.9881E-3</v>
      </c>
      <c r="P688" t="str">
        <f>[1]Sheet4!B149</f>
        <v> .0089253</v>
      </c>
      <c r="Q688" t="str">
        <f>[1]Sheet4!C149</f>
        <v>  .0144875</v>
      </c>
      <c r="R688" t="str">
        <f>[1]Sheet4!D149</f>
        <v>    .0053211</v>
      </c>
      <c r="S688" t="str">
        <f>[1]Sheet4!E149</f>
        <v>  .0068568</v>
      </c>
    </row>
    <row r="689" spans="1:19" x14ac:dyDescent="0.35">
      <c r="A689" s="3"/>
      <c r="H689" s="13">
        <v>2</v>
      </c>
      <c r="I689" s="13" t="s">
        <v>1</v>
      </c>
      <c r="J689" s="13" t="s">
        <v>2</v>
      </c>
      <c r="L689" s="13">
        <f>X685</f>
        <v>4.28E-4</v>
      </c>
      <c r="P689" t="str">
        <f>[1]Sheet4!B150</f>
        <v> .0297633</v>
      </c>
      <c r="Q689" t="str">
        <f>[1]Sheet4!C150</f>
        <v>  .0417379</v>
      </c>
      <c r="R689" t="str">
        <f>[1]Sheet4!D150</f>
        <v>    .0169176</v>
      </c>
      <c r="S689" t="str">
        <f>[1]Sheet4!E150</f>
        <v>  .0230816</v>
      </c>
    </row>
    <row r="690" spans="1:19" x14ac:dyDescent="0.35">
      <c r="A690" s="4"/>
      <c r="H690" s="13">
        <v>3</v>
      </c>
      <c r="I690" s="13" t="s">
        <v>3</v>
      </c>
      <c r="J690" s="13" t="s">
        <v>0</v>
      </c>
      <c r="L690" s="13">
        <f>Y682</f>
        <v>1.9143000000000001E-3</v>
      </c>
      <c r="P690" t="str">
        <f>[1]Sheet4!B151</f>
        <v> .0718662</v>
      </c>
      <c r="Q690" t="str">
        <f>[1]Sheet4!C151</f>
        <v>  .0825282</v>
      </c>
      <c r="R690" t="str">
        <f>[1]Sheet4!D151</f>
        <v>    .0252116</v>
      </c>
      <c r="S690" t="str">
        <f>[1]Sheet4!E151</f>
        <v>  .0689477</v>
      </c>
    </row>
    <row r="691" spans="1:19" x14ac:dyDescent="0.35">
      <c r="A691" s="4"/>
      <c r="H691" s="13">
        <v>3</v>
      </c>
      <c r="I691" s="13" t="s">
        <v>3</v>
      </c>
      <c r="J691" s="13" t="s">
        <v>2</v>
      </c>
      <c r="L691" s="13">
        <f>Y683</f>
        <v>3.5171999999999998E-3</v>
      </c>
      <c r="P691" t="str">
        <f>[1]Sheet4!B152</f>
        <v> .2158178</v>
      </c>
      <c r="Q691" t="str">
        <f>[1]Sheet4!C152</f>
        <v>  .2373507</v>
      </c>
      <c r="R691" t="str">
        <f>[1]Sheet4!D152</f>
        <v>    .0885184</v>
      </c>
      <c r="S691" t="str">
        <f>[1]Sheet4!E152</f>
        <v>  .3025097</v>
      </c>
    </row>
    <row r="692" spans="1:19" x14ac:dyDescent="0.35">
      <c r="A692" s="3"/>
      <c r="H692" s="13">
        <v>3</v>
      </c>
      <c r="I692" s="13" t="s">
        <v>1</v>
      </c>
      <c r="J692" s="13" t="s">
        <v>0</v>
      </c>
      <c r="L692" s="13">
        <f>Y684</f>
        <v>5.7950000000000005E-4</v>
      </c>
    </row>
    <row r="693" spans="1:19" x14ac:dyDescent="0.35">
      <c r="A693" s="3"/>
      <c r="H693" s="13">
        <v>3</v>
      </c>
      <c r="I693" s="13" t="s">
        <v>1</v>
      </c>
      <c r="J693" s="13" t="s">
        <v>2</v>
      </c>
      <c r="L693" s="13">
        <f>Y685</f>
        <v>6.7853999999999996E-3</v>
      </c>
    </row>
    <row r="694" spans="1:19" x14ac:dyDescent="0.35">
      <c r="A694" s="4"/>
      <c r="H694" s="13">
        <v>4</v>
      </c>
      <c r="I694" s="13" t="s">
        <v>3</v>
      </c>
      <c r="J694" s="13" t="s">
        <v>0</v>
      </c>
      <c r="L694" s="13">
        <f>Z682</f>
        <v>4.9255000000000002E-3</v>
      </c>
    </row>
    <row r="695" spans="1:19" x14ac:dyDescent="0.35">
      <c r="A695" s="4"/>
      <c r="H695" s="13">
        <v>4</v>
      </c>
      <c r="I695" s="13" t="s">
        <v>3</v>
      </c>
      <c r="J695" s="13" t="s">
        <v>2</v>
      </c>
      <c r="L695" s="13">
        <f>Z683</f>
        <v>8.7975999999999992E-3</v>
      </c>
    </row>
    <row r="696" spans="1:19" x14ac:dyDescent="0.35">
      <c r="A696" s="3"/>
      <c r="H696" s="13">
        <v>4</v>
      </c>
      <c r="I696" s="13" t="s">
        <v>1</v>
      </c>
      <c r="J696" s="13" t="s">
        <v>0</v>
      </c>
      <c r="L696" s="13">
        <f>Z684</f>
        <v>1.5173000000000001E-3</v>
      </c>
    </row>
    <row r="697" spans="1:19" x14ac:dyDescent="0.35">
      <c r="A697" s="3"/>
      <c r="H697" s="13">
        <v>4</v>
      </c>
      <c r="I697" s="13" t="s">
        <v>1</v>
      </c>
      <c r="J697" s="13" t="s">
        <v>2</v>
      </c>
      <c r="L697" s="13">
        <f>Z685</f>
        <v>1.4047E-3</v>
      </c>
    </row>
    <row r="698" spans="1:19" x14ac:dyDescent="0.35">
      <c r="A698" s="4"/>
      <c r="H698" s="13">
        <v>5</v>
      </c>
      <c r="I698" s="13" t="s">
        <v>3</v>
      </c>
      <c r="J698" s="13" t="s">
        <v>0</v>
      </c>
      <c r="L698" s="13">
        <f>AA682</f>
        <v>1.07163E-2</v>
      </c>
    </row>
    <row r="699" spans="1:19" x14ac:dyDescent="0.35">
      <c r="A699" s="4"/>
      <c r="H699" s="13">
        <v>5</v>
      </c>
      <c r="I699" s="13" t="s">
        <v>3</v>
      </c>
      <c r="J699" s="13" t="s">
        <v>2</v>
      </c>
      <c r="L699" s="13">
        <f>AA683</f>
        <v>2.1771999999999998E-3</v>
      </c>
    </row>
    <row r="700" spans="1:19" x14ac:dyDescent="0.35">
      <c r="A700" s="3"/>
      <c r="H700" s="13">
        <v>5</v>
      </c>
      <c r="I700" s="13" t="s">
        <v>1</v>
      </c>
      <c r="J700" s="13" t="s">
        <v>0</v>
      </c>
      <c r="L700" s="13">
        <f>AA684</f>
        <v>3.3040000000000001E-4</v>
      </c>
    </row>
    <row r="701" spans="1:19" x14ac:dyDescent="0.35">
      <c r="A701" s="3"/>
      <c r="H701" s="13">
        <v>5</v>
      </c>
      <c r="I701" s="13" t="s">
        <v>1</v>
      </c>
      <c r="J701" s="13" t="s">
        <v>2</v>
      </c>
      <c r="L701" s="13">
        <f>AA685</f>
        <v>4.2794E-3</v>
      </c>
    </row>
    <row r="702" spans="1:19" x14ac:dyDescent="0.35">
      <c r="A702" s="4"/>
      <c r="H702" s="13">
        <v>6</v>
      </c>
      <c r="I702" s="13" t="s">
        <v>3</v>
      </c>
      <c r="J702" s="13" t="s">
        <v>0</v>
      </c>
      <c r="L702" s="13">
        <f>AB682</f>
        <v>3.4351E-3</v>
      </c>
    </row>
    <row r="703" spans="1:19" x14ac:dyDescent="0.35">
      <c r="A703" s="4"/>
      <c r="H703" s="13">
        <v>6</v>
      </c>
      <c r="I703" s="13" t="s">
        <v>3</v>
      </c>
      <c r="J703" s="13" t="s">
        <v>2</v>
      </c>
      <c r="L703" s="13">
        <f>AB683</f>
        <v>5.7134000000000004E-3</v>
      </c>
    </row>
    <row r="704" spans="1:19" x14ac:dyDescent="0.35">
      <c r="A704" s="3"/>
      <c r="H704" s="13">
        <v>6</v>
      </c>
      <c r="I704" s="13" t="s">
        <v>1</v>
      </c>
      <c r="J704" s="13" t="s">
        <v>0</v>
      </c>
      <c r="L704" s="13">
        <f>AB684</f>
        <v>3.9386999999999998E-3</v>
      </c>
    </row>
    <row r="705" spans="1:12" x14ac:dyDescent="0.35">
      <c r="A705" s="3"/>
      <c r="H705" s="13">
        <v>6</v>
      </c>
      <c r="I705" s="13" t="s">
        <v>1</v>
      </c>
      <c r="J705" s="13" t="s">
        <v>2</v>
      </c>
      <c r="L705" s="13">
        <f>AB685</f>
        <v>2.5482999999999999E-3</v>
      </c>
    </row>
    <row r="706" spans="1:12" x14ac:dyDescent="0.35">
      <c r="A706" s="4"/>
      <c r="H706" s="13">
        <v>7</v>
      </c>
      <c r="I706" s="13" t="s">
        <v>3</v>
      </c>
      <c r="J706" s="13" t="s">
        <v>0</v>
      </c>
      <c r="L706" s="13">
        <f>AC682</f>
        <v>8.9253000000000006E-3</v>
      </c>
    </row>
    <row r="707" spans="1:12" x14ac:dyDescent="0.35">
      <c r="A707" s="4"/>
      <c r="H707" s="13">
        <v>7</v>
      </c>
      <c r="I707" s="13" t="s">
        <v>3</v>
      </c>
      <c r="J707" s="13" t="s">
        <v>2</v>
      </c>
      <c r="L707" s="13">
        <f>AC683</f>
        <v>1.44875E-2</v>
      </c>
    </row>
    <row r="708" spans="1:12" x14ac:dyDescent="0.35">
      <c r="A708" s="3"/>
      <c r="H708" s="13">
        <v>7</v>
      </c>
      <c r="I708" s="13" t="s">
        <v>1</v>
      </c>
      <c r="J708" s="13" t="s">
        <v>0</v>
      </c>
      <c r="L708" s="13">
        <f>AC684</f>
        <v>5.3210999999999996E-3</v>
      </c>
    </row>
    <row r="709" spans="1:12" x14ac:dyDescent="0.35">
      <c r="A709" s="3"/>
      <c r="H709" s="13">
        <v>7</v>
      </c>
      <c r="I709" s="13" t="s">
        <v>1</v>
      </c>
      <c r="J709" s="13" t="s">
        <v>2</v>
      </c>
      <c r="L709" s="13">
        <f>AC685</f>
        <v>6.8567999999999997E-3</v>
      </c>
    </row>
    <row r="710" spans="1:12" x14ac:dyDescent="0.35">
      <c r="A710" s="4"/>
      <c r="H710" s="13">
        <v>8</v>
      </c>
      <c r="I710" s="13" t="s">
        <v>3</v>
      </c>
      <c r="J710" s="13" t="s">
        <v>0</v>
      </c>
      <c r="L710" s="13">
        <f>AD682</f>
        <v>2.9763299999999999E-2</v>
      </c>
    </row>
    <row r="711" spans="1:12" x14ac:dyDescent="0.35">
      <c r="A711" s="4"/>
      <c r="H711" s="13">
        <v>8</v>
      </c>
      <c r="I711" s="13" t="s">
        <v>3</v>
      </c>
      <c r="J711" s="13" t="s">
        <v>2</v>
      </c>
      <c r="L711" s="13">
        <f>AD683</f>
        <v>4.1737900000000001E-2</v>
      </c>
    </row>
    <row r="712" spans="1:12" x14ac:dyDescent="0.35">
      <c r="A712" s="3"/>
      <c r="H712" s="13">
        <v>8</v>
      </c>
      <c r="I712" s="13" t="s">
        <v>1</v>
      </c>
      <c r="J712" s="13" t="s">
        <v>0</v>
      </c>
      <c r="L712" s="13">
        <f>AD684</f>
        <v>1.6917600000000001E-2</v>
      </c>
    </row>
    <row r="713" spans="1:12" x14ac:dyDescent="0.35">
      <c r="A713" s="3"/>
      <c r="H713" s="13">
        <v>8</v>
      </c>
      <c r="I713" s="13" t="s">
        <v>1</v>
      </c>
      <c r="J713" s="13" t="s">
        <v>2</v>
      </c>
      <c r="L713" s="13">
        <f>AD685</f>
        <v>2.3081600000000001E-2</v>
      </c>
    </row>
    <row r="714" spans="1:12" x14ac:dyDescent="0.35">
      <c r="A714" s="4"/>
      <c r="H714" s="13">
        <v>9</v>
      </c>
      <c r="I714" s="13" t="s">
        <v>3</v>
      </c>
      <c r="J714" s="13" t="s">
        <v>0</v>
      </c>
      <c r="L714" s="13">
        <f>AE682</f>
        <v>7.1866200000000005E-2</v>
      </c>
    </row>
    <row r="715" spans="1:12" x14ac:dyDescent="0.35">
      <c r="A715" s="4"/>
      <c r="H715" s="13">
        <v>9</v>
      </c>
      <c r="I715" s="13" t="s">
        <v>3</v>
      </c>
      <c r="J715" s="13" t="s">
        <v>2</v>
      </c>
      <c r="L715" s="13">
        <f>AE683</f>
        <v>8.2528199999999996E-2</v>
      </c>
    </row>
    <row r="716" spans="1:12" x14ac:dyDescent="0.35">
      <c r="A716" s="3"/>
      <c r="H716" s="13">
        <v>9</v>
      </c>
      <c r="I716" s="13" t="s">
        <v>1</v>
      </c>
      <c r="J716" s="13" t="s">
        <v>0</v>
      </c>
      <c r="L716" s="13">
        <f>AE684</f>
        <v>2.5211600000000001E-2</v>
      </c>
    </row>
    <row r="717" spans="1:12" x14ac:dyDescent="0.35">
      <c r="A717" s="3"/>
      <c r="H717" s="13">
        <v>9</v>
      </c>
      <c r="I717" s="13" t="s">
        <v>1</v>
      </c>
      <c r="J717" s="13" t="s">
        <v>2</v>
      </c>
      <c r="L717" s="13">
        <f>AE685</f>
        <v>6.8947700000000001E-2</v>
      </c>
    </row>
    <row r="718" spans="1:12" x14ac:dyDescent="0.35">
      <c r="A718" s="4"/>
      <c r="H718" s="13">
        <v>10</v>
      </c>
      <c r="I718" s="13" t="s">
        <v>3</v>
      </c>
      <c r="J718" s="13" t="s">
        <v>0</v>
      </c>
      <c r="L718" s="13">
        <f>AF682</f>
        <v>0.2158178</v>
      </c>
    </row>
    <row r="719" spans="1:12" x14ac:dyDescent="0.35">
      <c r="A719" s="4"/>
      <c r="H719" s="13">
        <v>10</v>
      </c>
      <c r="I719" s="13" t="s">
        <v>3</v>
      </c>
      <c r="J719" s="13" t="s">
        <v>2</v>
      </c>
      <c r="L719" s="13">
        <f t="shared" ref="L719:L721" si="14">AF683</f>
        <v>0.2373507</v>
      </c>
    </row>
    <row r="720" spans="1:12" x14ac:dyDescent="0.35">
      <c r="A720" s="3"/>
      <c r="H720" s="13">
        <v>10</v>
      </c>
      <c r="I720" s="13" t="s">
        <v>1</v>
      </c>
      <c r="J720" s="13" t="s">
        <v>0</v>
      </c>
      <c r="L720" s="13">
        <f t="shared" si="14"/>
        <v>8.8518399999999997E-2</v>
      </c>
    </row>
    <row r="721" spans="1:20" x14ac:dyDescent="0.35">
      <c r="A721" s="3"/>
      <c r="H721" s="13">
        <v>10</v>
      </c>
      <c r="I721" s="13" t="s">
        <v>1</v>
      </c>
      <c r="J721" s="13" t="s">
        <v>2</v>
      </c>
      <c r="L721" s="13">
        <f t="shared" si="14"/>
        <v>0.30250969999999999</v>
      </c>
    </row>
    <row r="722" spans="1:20" x14ac:dyDescent="0.35">
      <c r="A722" t="s">
        <v>14</v>
      </c>
      <c r="D722" s="1" t="s">
        <v>28</v>
      </c>
      <c r="E722" s="1"/>
      <c r="F722" s="1" t="s">
        <v>27</v>
      </c>
      <c r="G722" s="1">
        <v>20</v>
      </c>
      <c r="H722" s="13">
        <v>1</v>
      </c>
      <c r="K722" s="13" t="s">
        <v>63</v>
      </c>
      <c r="L722" s="14">
        <f>O722</f>
        <v>2.6602000000000001E-2</v>
      </c>
      <c r="O722">
        <v>2.6602000000000001E-2</v>
      </c>
      <c r="P722">
        <v>2.6602000000000001E-2</v>
      </c>
      <c r="S722" t="str">
        <f>[1]Sheet4!B162</f>
        <v>        .026602</v>
      </c>
      <c r="T722" t="str">
        <f>[1]Sheet4!B179</f>
        <v>        .026602</v>
      </c>
    </row>
    <row r="723" spans="1:20" x14ac:dyDescent="0.35">
      <c r="D723" s="1"/>
      <c r="E723" s="1"/>
      <c r="F723" s="1"/>
      <c r="G723" s="1"/>
      <c r="H723" s="13">
        <v>1</v>
      </c>
      <c r="K723" s="13" t="s">
        <v>64</v>
      </c>
      <c r="L723" s="14">
        <f>P722</f>
        <v>2.6602000000000001E-2</v>
      </c>
      <c r="O723">
        <v>2.2594900000000001E-2</v>
      </c>
      <c r="P723">
        <v>2.2594900000000001E-2</v>
      </c>
      <c r="S723" t="str">
        <f>[1]Sheet4!B163</f>
        <v>       .0225949</v>
      </c>
      <c r="T723" t="str">
        <f>[1]Sheet4!B180</f>
        <v>       .0225949</v>
      </c>
    </row>
    <row r="724" spans="1:20" x14ac:dyDescent="0.35">
      <c r="D724" s="1"/>
      <c r="E724" s="1"/>
      <c r="F724" s="1"/>
      <c r="G724" s="1"/>
      <c r="H724" s="13">
        <v>2</v>
      </c>
      <c r="K724" s="13" t="s">
        <v>63</v>
      </c>
      <c r="L724" s="14">
        <f>O723</f>
        <v>2.2594900000000001E-2</v>
      </c>
      <c r="O724">
        <v>2.7198199999999999E-2</v>
      </c>
      <c r="P724">
        <v>2.7198199999999999E-2</v>
      </c>
      <c r="S724" t="str">
        <f>[1]Sheet4!B164</f>
        <v>       .0271982</v>
      </c>
      <c r="T724" t="str">
        <f>[1]Sheet4!B181</f>
        <v>       .0271982</v>
      </c>
    </row>
    <row r="725" spans="1:20" x14ac:dyDescent="0.35">
      <c r="D725" s="1"/>
      <c r="E725" s="1"/>
      <c r="F725" s="1"/>
      <c r="G725" s="1"/>
      <c r="H725" s="13">
        <v>2</v>
      </c>
      <c r="K725" s="13" t="s">
        <v>64</v>
      </c>
      <c r="L725" s="14">
        <f>P723</f>
        <v>2.2594900000000001E-2</v>
      </c>
      <c r="O725">
        <v>3.3874500000000002E-2</v>
      </c>
      <c r="P725">
        <v>3.3874500000000002E-2</v>
      </c>
      <c r="S725" t="str">
        <f>[1]Sheet4!B165</f>
        <v>       .0338745</v>
      </c>
      <c r="T725" t="str">
        <f>[1]Sheet4!B182</f>
        <v>       .0338745</v>
      </c>
    </row>
    <row r="726" spans="1:20" x14ac:dyDescent="0.35">
      <c r="D726" s="1"/>
      <c r="E726" s="1"/>
      <c r="F726" s="1"/>
      <c r="G726" s="1"/>
      <c r="H726" s="13">
        <v>3</v>
      </c>
      <c r="K726" s="13" t="s">
        <v>63</v>
      </c>
      <c r="L726" s="14">
        <f>O724</f>
        <v>2.7198199999999999E-2</v>
      </c>
      <c r="O726">
        <v>4.0700100000000003E-2</v>
      </c>
      <c r="P726">
        <v>4.0700100000000003E-2</v>
      </c>
      <c r="S726" t="str">
        <f>[1]Sheet4!B166</f>
        <v>       .0407001</v>
      </c>
      <c r="T726" t="str">
        <f>[1]Sheet4!B183</f>
        <v>       .0407001</v>
      </c>
    </row>
    <row r="727" spans="1:20" x14ac:dyDescent="0.35">
      <c r="D727" s="1"/>
      <c r="E727" s="1"/>
      <c r="F727" s="1"/>
      <c r="G727" s="1"/>
      <c r="H727" s="13">
        <v>3</v>
      </c>
      <c r="K727" s="13" t="s">
        <v>64</v>
      </c>
      <c r="L727" s="14">
        <f>P724</f>
        <v>2.7198199999999999E-2</v>
      </c>
      <c r="O727">
        <v>5.0787199999999998E-2</v>
      </c>
      <c r="P727">
        <v>5.0787199999999998E-2</v>
      </c>
      <c r="S727" t="str">
        <f>[1]Sheet4!B167</f>
        <v>       .0507872</v>
      </c>
      <c r="T727" t="str">
        <f>[1]Sheet4!B184</f>
        <v>       .0507872</v>
      </c>
    </row>
    <row r="728" spans="1:20" x14ac:dyDescent="0.35">
      <c r="D728" s="1"/>
      <c r="E728" s="1"/>
      <c r="F728" s="1"/>
      <c r="G728" s="1"/>
      <c r="H728" s="13">
        <v>4</v>
      </c>
      <c r="K728" s="13" t="s">
        <v>63</v>
      </c>
      <c r="L728" s="14">
        <f>O725</f>
        <v>3.3874500000000002E-2</v>
      </c>
      <c r="O728">
        <v>7.0779499999999995E-2</v>
      </c>
      <c r="P728">
        <v>7.0779499999999995E-2</v>
      </c>
      <c r="S728" t="str">
        <f>[1]Sheet4!B168</f>
        <v>       .0707795</v>
      </c>
      <c r="T728" t="str">
        <f>[1]Sheet4!B185</f>
        <v>       .0707795</v>
      </c>
    </row>
    <row r="729" spans="1:20" x14ac:dyDescent="0.35">
      <c r="D729" s="1"/>
      <c r="E729" s="1"/>
      <c r="F729" s="1"/>
      <c r="G729" s="1"/>
      <c r="H729" s="13">
        <v>4</v>
      </c>
      <c r="K729" s="13" t="s">
        <v>64</v>
      </c>
      <c r="L729" s="14">
        <f>P725</f>
        <v>3.3874500000000002E-2</v>
      </c>
      <c r="O729">
        <v>9.9430199999999996E-2</v>
      </c>
      <c r="P729">
        <v>9.9430199999999996E-2</v>
      </c>
      <c r="S729" t="str">
        <f>[1]Sheet4!B169</f>
        <v>       .0994302</v>
      </c>
      <c r="T729" t="str">
        <f>[1]Sheet4!B186</f>
        <v>       .0994302</v>
      </c>
    </row>
    <row r="730" spans="1:20" x14ac:dyDescent="0.35">
      <c r="D730" s="1"/>
      <c r="E730" s="1"/>
      <c r="F730" s="1"/>
      <c r="G730" s="1"/>
      <c r="H730" s="13">
        <v>5</v>
      </c>
      <c r="K730" s="13" t="s">
        <v>63</v>
      </c>
      <c r="L730" s="14">
        <f>O726</f>
        <v>4.0700100000000003E-2</v>
      </c>
      <c r="O730">
        <v>0.1819585</v>
      </c>
      <c r="P730">
        <v>0.1819585</v>
      </c>
      <c r="S730" t="str">
        <f>[1]Sheet4!B170</f>
        <v>       .1819585</v>
      </c>
      <c r="T730" t="str">
        <f>[1]Sheet4!B187</f>
        <v>       .1819585</v>
      </c>
    </row>
    <row r="731" spans="1:20" x14ac:dyDescent="0.35">
      <c r="D731" s="1"/>
      <c r="E731" s="1"/>
      <c r="F731" s="1"/>
      <c r="G731" s="1"/>
      <c r="H731" s="13">
        <v>5</v>
      </c>
      <c r="K731" s="13" t="s">
        <v>64</v>
      </c>
      <c r="L731" s="14">
        <f>P726</f>
        <v>4.0700100000000003E-2</v>
      </c>
      <c r="O731">
        <v>0.44607479999999999</v>
      </c>
      <c r="P731">
        <v>0.44607479999999999</v>
      </c>
      <c r="S731" t="str">
        <f>[1]Sheet4!B171</f>
        <v>       .4460748</v>
      </c>
      <c r="T731" t="str">
        <f>[1]Sheet4!B188</f>
        <v>       .4460748</v>
      </c>
    </row>
    <row r="732" spans="1:20" x14ac:dyDescent="0.35">
      <c r="D732" s="1"/>
      <c r="E732" s="1"/>
      <c r="F732" s="1"/>
      <c r="G732" s="1"/>
      <c r="H732" s="13">
        <v>6</v>
      </c>
      <c r="K732" s="13" t="s">
        <v>63</v>
      </c>
      <c r="L732" s="14">
        <f>O727</f>
        <v>5.0787199999999998E-2</v>
      </c>
    </row>
    <row r="733" spans="1:20" x14ac:dyDescent="0.35">
      <c r="D733" s="1"/>
      <c r="E733" s="1"/>
      <c r="F733" s="1"/>
      <c r="G733" s="1"/>
      <c r="H733" s="13">
        <v>6</v>
      </c>
      <c r="K733" s="13" t="s">
        <v>64</v>
      </c>
      <c r="L733" s="14">
        <f>P727</f>
        <v>5.0787199999999998E-2</v>
      </c>
    </row>
    <row r="734" spans="1:20" x14ac:dyDescent="0.35">
      <c r="D734" s="1"/>
      <c r="E734" s="1"/>
      <c r="F734" s="1"/>
      <c r="G734" s="1"/>
      <c r="H734" s="13">
        <v>7</v>
      </c>
      <c r="K734" s="13" t="s">
        <v>63</v>
      </c>
      <c r="L734" s="14">
        <f>O728</f>
        <v>7.0779499999999995E-2</v>
      </c>
    </row>
    <row r="735" spans="1:20" x14ac:dyDescent="0.35">
      <c r="D735" s="1"/>
      <c r="E735" s="1"/>
      <c r="F735" s="1"/>
      <c r="G735" s="1"/>
      <c r="H735" s="13">
        <v>7</v>
      </c>
      <c r="K735" s="13" t="s">
        <v>64</v>
      </c>
      <c r="L735" s="14">
        <f>P728</f>
        <v>7.0779499999999995E-2</v>
      </c>
    </row>
    <row r="736" spans="1:20" x14ac:dyDescent="0.35">
      <c r="D736" s="1"/>
      <c r="E736" s="1"/>
      <c r="F736" s="1"/>
      <c r="G736" s="1"/>
      <c r="H736" s="13">
        <v>8</v>
      </c>
      <c r="K736" s="13" t="s">
        <v>63</v>
      </c>
      <c r="L736" s="14">
        <f>O729</f>
        <v>9.9430199999999996E-2</v>
      </c>
    </row>
    <row r="737" spans="1:32" x14ac:dyDescent="0.35">
      <c r="D737" s="1"/>
      <c r="E737" s="1"/>
      <c r="F737" s="1"/>
      <c r="G737" s="1"/>
      <c r="H737" s="13">
        <v>8</v>
      </c>
      <c r="K737" s="13" t="s">
        <v>64</v>
      </c>
      <c r="L737" s="14">
        <f>P729</f>
        <v>9.9430199999999996E-2</v>
      </c>
    </row>
    <row r="738" spans="1:32" x14ac:dyDescent="0.35">
      <c r="D738" s="1"/>
      <c r="E738" s="1"/>
      <c r="F738" s="1"/>
      <c r="G738" s="1"/>
      <c r="H738" s="13">
        <v>9</v>
      </c>
      <c r="K738" s="13" t="s">
        <v>63</v>
      </c>
      <c r="L738" s="14">
        <f>O730</f>
        <v>0.1819585</v>
      </c>
    </row>
    <row r="739" spans="1:32" x14ac:dyDescent="0.35">
      <c r="D739" s="1"/>
      <c r="E739" s="1"/>
      <c r="F739" s="1"/>
      <c r="G739" s="1"/>
      <c r="H739" s="13">
        <v>9</v>
      </c>
      <c r="K739" s="13" t="s">
        <v>64</v>
      </c>
      <c r="L739" s="14">
        <f>P730</f>
        <v>0.1819585</v>
      </c>
    </row>
    <row r="740" spans="1:32" x14ac:dyDescent="0.35">
      <c r="D740" s="1"/>
      <c r="E740" s="1"/>
      <c r="F740" s="1"/>
      <c r="G740" s="1"/>
      <c r="H740" s="13">
        <v>10</v>
      </c>
      <c r="K740" s="13" t="s">
        <v>63</v>
      </c>
      <c r="L740" s="14">
        <f>O731</f>
        <v>0.44607479999999999</v>
      </c>
    </row>
    <row r="741" spans="1:32" x14ac:dyDescent="0.35">
      <c r="D741" s="1"/>
      <c r="E741" s="1"/>
      <c r="F741" s="1"/>
      <c r="G741" s="1"/>
      <c r="H741" s="13">
        <v>10</v>
      </c>
      <c r="K741" s="13" t="s">
        <v>64</v>
      </c>
      <c r="L741" s="14">
        <f>P731</f>
        <v>0.44607479999999999</v>
      </c>
    </row>
    <row r="742" spans="1:32" x14ac:dyDescent="0.35">
      <c r="A742" s="4" t="s">
        <v>14</v>
      </c>
      <c r="D742" s="7" t="s">
        <v>72</v>
      </c>
      <c r="E742" s="1" t="s">
        <v>22</v>
      </c>
      <c r="F742" s="1" t="s">
        <v>21</v>
      </c>
      <c r="G742" s="1">
        <v>40</v>
      </c>
      <c r="H742" s="13">
        <v>1</v>
      </c>
      <c r="I742" s="13" t="s">
        <v>3</v>
      </c>
      <c r="J742" s="13" t="s">
        <v>0</v>
      </c>
      <c r="L742" s="15">
        <f>W742</f>
        <v>9632.0740000000005</v>
      </c>
      <c r="P742" t="str">
        <f>[1]Sheet4!B198</f>
        <v> 9632.074</v>
      </c>
      <c r="Q742" t="str">
        <f>[1]Sheet4!C198</f>
        <v>  9570.435</v>
      </c>
      <c r="R742" t="str">
        <f>[1]Sheet4!D198</f>
        <v>    4810.439</v>
      </c>
      <c r="S742" t="str">
        <f>[1]Sheet4!E198</f>
        <v>  4259.304</v>
      </c>
      <c r="W742">
        <v>9632.0740000000005</v>
      </c>
      <c r="X742">
        <v>8088.2079999999996</v>
      </c>
      <c r="Y742">
        <v>9001.3040000000001</v>
      </c>
      <c r="Z742">
        <v>10701.02</v>
      </c>
      <c r="AA742">
        <v>13119.31</v>
      </c>
      <c r="AB742">
        <v>14734.73</v>
      </c>
      <c r="AC742">
        <v>21526.240000000002</v>
      </c>
      <c r="AD742">
        <v>29100.97</v>
      </c>
      <c r="AE742">
        <v>47904.24</v>
      </c>
      <c r="AF742">
        <v>128440.3</v>
      </c>
    </row>
    <row r="743" spans="1:32" x14ac:dyDescent="0.35">
      <c r="A743" s="4"/>
      <c r="D743" s="1"/>
      <c r="E743" s="1"/>
      <c r="F743" s="1"/>
      <c r="G743" s="1"/>
      <c r="H743" s="13">
        <v>1</v>
      </c>
      <c r="I743" s="13" t="s">
        <v>3</v>
      </c>
      <c r="J743" s="13" t="s">
        <v>2</v>
      </c>
      <c r="L743" s="15">
        <f>W743</f>
        <v>9570.4349999999995</v>
      </c>
      <c r="P743" t="str">
        <f>[1]Sheet4!B199</f>
        <v> 8088.208</v>
      </c>
      <c r="Q743" t="str">
        <f>[1]Sheet4!C199</f>
        <v>  7044.376</v>
      </c>
      <c r="R743" t="str">
        <f>[1]Sheet4!D199</f>
        <v>    4658.385</v>
      </c>
      <c r="S743" t="str">
        <f>[1]Sheet4!E199</f>
        <v>  4548.655</v>
      </c>
      <c r="W743">
        <v>9570.4349999999995</v>
      </c>
      <c r="X743">
        <v>7044.3760000000002</v>
      </c>
      <c r="Y743">
        <v>8577.1949999999997</v>
      </c>
      <c r="Z743">
        <v>9879.77</v>
      </c>
      <c r="AA743">
        <v>12284.27</v>
      </c>
      <c r="AB743">
        <v>14110.65</v>
      </c>
      <c r="AC743">
        <v>17449.25</v>
      </c>
      <c r="AD743">
        <v>27212.48</v>
      </c>
      <c r="AE743">
        <v>50226.39</v>
      </c>
      <c r="AF743">
        <v>111883.1</v>
      </c>
    </row>
    <row r="744" spans="1:32" x14ac:dyDescent="0.35">
      <c r="A744" s="4"/>
      <c r="D744" s="1"/>
      <c r="E744" s="1"/>
      <c r="F744" s="1"/>
      <c r="G744" s="1"/>
      <c r="H744" s="13">
        <v>1</v>
      </c>
      <c r="I744" s="13" t="s">
        <v>1</v>
      </c>
      <c r="J744" s="13" t="s">
        <v>0</v>
      </c>
      <c r="L744" s="15">
        <f>W744</f>
        <v>4810.4390000000003</v>
      </c>
      <c r="P744" t="str">
        <f>[1]Sheet4!B200</f>
        <v> 9001.304</v>
      </c>
      <c r="Q744" t="str">
        <f>[1]Sheet4!C200</f>
        <v>  8577.195</v>
      </c>
      <c r="R744" t="str">
        <f>[1]Sheet4!D200</f>
        <v>    5673.021</v>
      </c>
      <c r="S744" t="str">
        <f>[1]Sheet4!E200</f>
        <v>  5167.555</v>
      </c>
      <c r="W744">
        <v>4810.4390000000003</v>
      </c>
      <c r="X744">
        <v>4658.3850000000002</v>
      </c>
      <c r="Y744">
        <v>5673.0209999999997</v>
      </c>
      <c r="Z744">
        <v>6996.1970000000001</v>
      </c>
      <c r="AA744">
        <v>7963.7349999999997</v>
      </c>
      <c r="AB744">
        <v>10517.43</v>
      </c>
      <c r="AC744">
        <v>15955.92</v>
      </c>
      <c r="AD744">
        <v>18038.29</v>
      </c>
      <c r="AE744">
        <v>30894.42</v>
      </c>
      <c r="AF744">
        <v>66897.08</v>
      </c>
    </row>
    <row r="745" spans="1:32" x14ac:dyDescent="0.35">
      <c r="A745" s="4"/>
      <c r="D745" s="1"/>
      <c r="E745" s="1"/>
      <c r="F745" s="1"/>
      <c r="G745" s="1"/>
      <c r="H745" s="13">
        <v>1</v>
      </c>
      <c r="I745" s="13" t="s">
        <v>1</v>
      </c>
      <c r="J745" s="13" t="s">
        <v>2</v>
      </c>
      <c r="L745" s="15">
        <f>W745</f>
        <v>4259.3040000000001</v>
      </c>
      <c r="P745" t="str">
        <f>[1]Sheet4!B201</f>
        <v> 10701.02</v>
      </c>
      <c r="Q745" t="str">
        <f>[1]Sheet4!C201</f>
        <v>   9879.77</v>
      </c>
      <c r="R745" t="str">
        <f>[1]Sheet4!D201</f>
        <v>    6996.197</v>
      </c>
      <c r="S745" t="str">
        <f>[1]Sheet4!E201</f>
        <v>  6268.843</v>
      </c>
      <c r="W745">
        <v>4259.3040000000001</v>
      </c>
      <c r="X745">
        <v>4548.6549999999997</v>
      </c>
      <c r="Y745">
        <v>5167.5550000000003</v>
      </c>
      <c r="Z745">
        <v>6268.8429999999998</v>
      </c>
      <c r="AA745">
        <v>7346.0540000000001</v>
      </c>
      <c r="AB745">
        <v>9036.3909999999996</v>
      </c>
      <c r="AC745">
        <v>10979.97</v>
      </c>
      <c r="AD745">
        <v>15567.43</v>
      </c>
      <c r="AE745">
        <v>28382.12</v>
      </c>
      <c r="AF745">
        <v>52937.93</v>
      </c>
    </row>
    <row r="746" spans="1:32" x14ac:dyDescent="0.35">
      <c r="A746" s="4"/>
      <c r="D746" s="1"/>
      <c r="E746" s="1"/>
      <c r="F746" s="1"/>
      <c r="G746" s="1"/>
      <c r="H746" s="13">
        <v>2</v>
      </c>
      <c r="I746" s="13" t="s">
        <v>3</v>
      </c>
      <c r="J746" s="13" t="s">
        <v>0</v>
      </c>
      <c r="L746" s="15">
        <f>X742</f>
        <v>8088.2079999999996</v>
      </c>
      <c r="P746" t="str">
        <f>[1]Sheet4!B202</f>
        <v> 13119.31</v>
      </c>
      <c r="Q746" t="str">
        <f>[1]Sheet4!C202</f>
        <v>  12284.27</v>
      </c>
      <c r="R746" t="str">
        <f>[1]Sheet4!D202</f>
        <v>    7963.735</v>
      </c>
      <c r="S746" t="str">
        <f>[1]Sheet4!E202</f>
        <v>  7346.054</v>
      </c>
    </row>
    <row r="747" spans="1:32" x14ac:dyDescent="0.35">
      <c r="A747" s="4"/>
      <c r="D747" s="1"/>
      <c r="E747" s="1"/>
      <c r="F747" s="1"/>
      <c r="G747" s="1"/>
      <c r="H747" s="13">
        <v>2</v>
      </c>
      <c r="I747" s="13" t="s">
        <v>3</v>
      </c>
      <c r="J747" s="13" t="s">
        <v>2</v>
      </c>
      <c r="L747" s="15">
        <f>X743</f>
        <v>7044.3760000000002</v>
      </c>
      <c r="P747" t="str">
        <f>[1]Sheet4!B203</f>
        <v> 14734.73</v>
      </c>
      <c r="Q747" t="str">
        <f>[1]Sheet4!C203</f>
        <v>  14110.65</v>
      </c>
      <c r="R747" t="str">
        <f>[1]Sheet4!D203</f>
        <v>    10517.43</v>
      </c>
      <c r="S747" t="str">
        <f>[1]Sheet4!E203</f>
        <v>  9036.391</v>
      </c>
    </row>
    <row r="748" spans="1:32" x14ac:dyDescent="0.35">
      <c r="A748" s="4"/>
      <c r="D748" s="1"/>
      <c r="E748" s="1"/>
      <c r="F748" s="1"/>
      <c r="G748" s="1"/>
      <c r="H748" s="13">
        <v>2</v>
      </c>
      <c r="I748" s="13" t="s">
        <v>1</v>
      </c>
      <c r="J748" s="13" t="s">
        <v>0</v>
      </c>
      <c r="L748" s="15">
        <f>X744</f>
        <v>4658.3850000000002</v>
      </c>
      <c r="P748" t="str">
        <f>[1]Sheet4!B204</f>
        <v> 21526.24</v>
      </c>
      <c r="Q748" t="str">
        <f>[1]Sheet4!C204</f>
        <v>  17449.25</v>
      </c>
      <c r="R748" t="str">
        <f>[1]Sheet4!D204</f>
        <v>    15955.92</v>
      </c>
      <c r="S748" t="str">
        <f>[1]Sheet4!E204</f>
        <v>  10979.97</v>
      </c>
    </row>
    <row r="749" spans="1:32" x14ac:dyDescent="0.35">
      <c r="A749" s="4"/>
      <c r="D749" s="1"/>
      <c r="E749" s="1"/>
      <c r="F749" s="1"/>
      <c r="G749" s="1"/>
      <c r="H749" s="13">
        <v>2</v>
      </c>
      <c r="I749" s="13" t="s">
        <v>1</v>
      </c>
      <c r="J749" s="13" t="s">
        <v>2</v>
      </c>
      <c r="L749" s="15">
        <f>X745</f>
        <v>4548.6549999999997</v>
      </c>
      <c r="P749" t="str">
        <f>[1]Sheet4!B205</f>
        <v> 29100.97</v>
      </c>
      <c r="Q749" t="str">
        <f>[1]Sheet4!C205</f>
        <v>  27212.48</v>
      </c>
      <c r="R749" t="str">
        <f>[1]Sheet4!D205</f>
        <v>    18038.29</v>
      </c>
      <c r="S749" t="str">
        <f>[1]Sheet4!E205</f>
        <v>  15567.43</v>
      </c>
    </row>
    <row r="750" spans="1:32" x14ac:dyDescent="0.35">
      <c r="A750" s="4"/>
      <c r="D750" s="1"/>
      <c r="E750" s="1"/>
      <c r="F750" s="1" t="s">
        <v>69</v>
      </c>
      <c r="G750" s="1"/>
      <c r="H750" s="13">
        <v>3</v>
      </c>
      <c r="I750" s="13" t="s">
        <v>3</v>
      </c>
      <c r="J750" s="13" t="s">
        <v>0</v>
      </c>
      <c r="L750" s="15">
        <f>Y742</f>
        <v>9001.3040000000001</v>
      </c>
      <c r="P750" t="str">
        <f>[1]Sheet4!B206</f>
        <v> 47904.24</v>
      </c>
      <c r="Q750" t="str">
        <f>[1]Sheet4!C206</f>
        <v>  50226.39</v>
      </c>
      <c r="R750" t="str">
        <f>[1]Sheet4!D206</f>
        <v>    30894.42</v>
      </c>
      <c r="S750" t="str">
        <f>[1]Sheet4!E206</f>
        <v>  28382.12</v>
      </c>
    </row>
    <row r="751" spans="1:32" x14ac:dyDescent="0.35">
      <c r="A751" s="4"/>
      <c r="D751" s="1"/>
      <c r="E751" s="1"/>
      <c r="F751" s="1"/>
      <c r="G751" s="1"/>
      <c r="H751" s="13">
        <v>3</v>
      </c>
      <c r="I751" s="13" t="s">
        <v>3</v>
      </c>
      <c r="J751" s="13" t="s">
        <v>2</v>
      </c>
      <c r="L751" s="15">
        <f>Y743</f>
        <v>8577.1949999999997</v>
      </c>
      <c r="P751" t="str">
        <f>[1]Sheet4!B207</f>
        <v> 128440.3</v>
      </c>
      <c r="Q751" t="str">
        <f>[1]Sheet4!C207</f>
        <v>  111883.1</v>
      </c>
      <c r="R751" t="str">
        <f>[1]Sheet4!D207</f>
        <v>    66897.08</v>
      </c>
      <c r="S751" t="str">
        <f>[1]Sheet4!E207</f>
        <v>  52937.93</v>
      </c>
    </row>
    <row r="752" spans="1:32" x14ac:dyDescent="0.35">
      <c r="A752" s="4"/>
      <c r="D752" s="1"/>
      <c r="E752" s="1"/>
      <c r="F752" s="1"/>
      <c r="G752" s="1"/>
      <c r="H752" s="13">
        <v>3</v>
      </c>
      <c r="I752" s="13" t="s">
        <v>1</v>
      </c>
      <c r="J752" s="13" t="s">
        <v>0</v>
      </c>
      <c r="L752" s="15">
        <f>Y744</f>
        <v>5673.0209999999997</v>
      </c>
    </row>
    <row r="753" spans="1:12" x14ac:dyDescent="0.35">
      <c r="A753" s="4"/>
      <c r="D753" s="1"/>
      <c r="E753" s="1"/>
      <c r="F753" s="1"/>
      <c r="G753" s="1"/>
      <c r="H753" s="13">
        <v>3</v>
      </c>
      <c r="I753" s="13" t="s">
        <v>1</v>
      </c>
      <c r="J753" s="13" t="s">
        <v>2</v>
      </c>
      <c r="L753" s="15">
        <f>Y745</f>
        <v>5167.5550000000003</v>
      </c>
    </row>
    <row r="754" spans="1:12" x14ac:dyDescent="0.35">
      <c r="A754" s="4"/>
      <c r="D754" s="1"/>
      <c r="E754" s="1"/>
      <c r="F754" s="1" t="s">
        <v>68</v>
      </c>
      <c r="G754" s="1"/>
      <c r="H754" s="13">
        <v>4</v>
      </c>
      <c r="I754" s="13" t="s">
        <v>3</v>
      </c>
      <c r="J754" s="13" t="s">
        <v>0</v>
      </c>
      <c r="L754" s="15">
        <f>Z742</f>
        <v>10701.02</v>
      </c>
    </row>
    <row r="755" spans="1:12" x14ac:dyDescent="0.35">
      <c r="A755" s="4"/>
      <c r="D755" s="1"/>
      <c r="E755" s="1"/>
      <c r="F755" s="1"/>
      <c r="G755" s="1"/>
      <c r="H755" s="13">
        <v>4</v>
      </c>
      <c r="I755" s="13" t="s">
        <v>3</v>
      </c>
      <c r="J755" s="13" t="s">
        <v>2</v>
      </c>
      <c r="L755" s="15">
        <f>Z743</f>
        <v>9879.77</v>
      </c>
    </row>
    <row r="756" spans="1:12" x14ac:dyDescent="0.35">
      <c r="A756" s="4"/>
      <c r="D756" s="1"/>
      <c r="E756" s="1"/>
      <c r="F756" s="1"/>
      <c r="G756" s="1"/>
      <c r="H756" s="13">
        <v>4</v>
      </c>
      <c r="I756" s="13" t="s">
        <v>1</v>
      </c>
      <c r="J756" s="13" t="s">
        <v>0</v>
      </c>
      <c r="L756" s="15">
        <f>Z744</f>
        <v>6996.1970000000001</v>
      </c>
    </row>
    <row r="757" spans="1:12" x14ac:dyDescent="0.35">
      <c r="A757" s="4"/>
      <c r="D757" s="1"/>
      <c r="E757" s="1"/>
      <c r="F757" s="1"/>
      <c r="G757" s="1"/>
      <c r="H757" s="13">
        <v>4</v>
      </c>
      <c r="I757" s="13" t="s">
        <v>1</v>
      </c>
      <c r="J757" s="13" t="s">
        <v>2</v>
      </c>
      <c r="L757" s="15">
        <f>Z745</f>
        <v>6268.8429999999998</v>
      </c>
    </row>
    <row r="758" spans="1:12" x14ac:dyDescent="0.35">
      <c r="A758" s="4"/>
      <c r="D758" s="1"/>
      <c r="E758" s="1"/>
      <c r="F758" s="1"/>
      <c r="G758" s="1"/>
      <c r="H758" s="13">
        <v>5</v>
      </c>
      <c r="I758" s="13" t="s">
        <v>3</v>
      </c>
      <c r="J758" s="13" t="s">
        <v>0</v>
      </c>
      <c r="L758" s="15">
        <f>AA742</f>
        <v>13119.31</v>
      </c>
    </row>
    <row r="759" spans="1:12" x14ac:dyDescent="0.35">
      <c r="A759" s="4"/>
      <c r="D759" s="1"/>
      <c r="E759" s="1"/>
      <c r="F759" s="1" t="s">
        <v>70</v>
      </c>
      <c r="G759" s="1"/>
      <c r="H759" s="13">
        <v>5</v>
      </c>
      <c r="I759" s="13" t="s">
        <v>3</v>
      </c>
      <c r="J759" s="13" t="s">
        <v>2</v>
      </c>
      <c r="L759" s="15">
        <f>AA743</f>
        <v>12284.27</v>
      </c>
    </row>
    <row r="760" spans="1:12" x14ac:dyDescent="0.35">
      <c r="A760" s="4"/>
      <c r="D760" s="1"/>
      <c r="E760" s="1"/>
      <c r="F760" s="1"/>
      <c r="G760" s="1"/>
      <c r="H760" s="13">
        <v>5</v>
      </c>
      <c r="I760" s="13" t="s">
        <v>1</v>
      </c>
      <c r="J760" s="13" t="s">
        <v>0</v>
      </c>
      <c r="L760" s="15">
        <f>AA744</f>
        <v>7963.7349999999997</v>
      </c>
    </row>
    <row r="761" spans="1:12" x14ac:dyDescent="0.35">
      <c r="A761" s="4"/>
      <c r="D761" s="1"/>
      <c r="E761" s="1"/>
      <c r="F761" s="1"/>
      <c r="G761" s="1"/>
      <c r="H761" s="13">
        <v>5</v>
      </c>
      <c r="I761" s="13" t="s">
        <v>1</v>
      </c>
      <c r="J761" s="13" t="s">
        <v>2</v>
      </c>
      <c r="L761" s="15">
        <f>AA745</f>
        <v>7346.0540000000001</v>
      </c>
    </row>
    <row r="762" spans="1:12" x14ac:dyDescent="0.35">
      <c r="A762" s="4"/>
      <c r="D762" s="1"/>
      <c r="E762" s="1"/>
      <c r="F762" s="1"/>
      <c r="G762" s="1"/>
      <c r="H762" s="13">
        <v>6</v>
      </c>
      <c r="I762" s="13" t="s">
        <v>3</v>
      </c>
      <c r="J762" s="13" t="s">
        <v>0</v>
      </c>
      <c r="L762" s="15">
        <f>AB742</f>
        <v>14734.73</v>
      </c>
    </row>
    <row r="763" spans="1:12" x14ac:dyDescent="0.35">
      <c r="A763" s="4"/>
      <c r="D763" s="1"/>
      <c r="E763" s="1"/>
      <c r="F763" s="1"/>
      <c r="G763" s="1"/>
      <c r="H763" s="13">
        <v>6</v>
      </c>
      <c r="I763" s="13" t="s">
        <v>3</v>
      </c>
      <c r="J763" s="13" t="s">
        <v>2</v>
      </c>
      <c r="L763" s="15">
        <f>AB743</f>
        <v>14110.65</v>
      </c>
    </row>
    <row r="764" spans="1:12" x14ac:dyDescent="0.35">
      <c r="A764" s="4"/>
      <c r="D764" s="1"/>
      <c r="E764" s="1"/>
      <c r="F764" s="1"/>
      <c r="G764" s="1"/>
      <c r="H764" s="13">
        <v>6</v>
      </c>
      <c r="I764" s="13" t="s">
        <v>1</v>
      </c>
      <c r="J764" s="13" t="s">
        <v>0</v>
      </c>
      <c r="L764" s="15">
        <f>AB744</f>
        <v>10517.43</v>
      </c>
    </row>
    <row r="765" spans="1:12" x14ac:dyDescent="0.35">
      <c r="A765" s="4"/>
      <c r="D765" s="1"/>
      <c r="E765" s="1"/>
      <c r="F765" s="1"/>
      <c r="G765" s="1"/>
      <c r="H765" s="13">
        <v>6</v>
      </c>
      <c r="I765" s="13" t="s">
        <v>1</v>
      </c>
      <c r="J765" s="13" t="s">
        <v>2</v>
      </c>
      <c r="L765" s="15">
        <f>AB745</f>
        <v>9036.3909999999996</v>
      </c>
    </row>
    <row r="766" spans="1:12" x14ac:dyDescent="0.35">
      <c r="A766" s="4"/>
      <c r="D766" s="1"/>
      <c r="E766" s="1"/>
      <c r="F766" s="1"/>
      <c r="G766" s="1"/>
      <c r="H766" s="13">
        <v>7</v>
      </c>
      <c r="I766" s="13" t="s">
        <v>3</v>
      </c>
      <c r="J766" s="13" t="s">
        <v>0</v>
      </c>
      <c r="L766" s="15">
        <f>AC742</f>
        <v>21526.240000000002</v>
      </c>
    </row>
    <row r="767" spans="1:12" x14ac:dyDescent="0.35">
      <c r="A767" s="4"/>
      <c r="D767" s="1"/>
      <c r="E767" s="1"/>
      <c r="F767" s="1"/>
      <c r="G767" s="1"/>
      <c r="H767" s="13">
        <v>7</v>
      </c>
      <c r="I767" s="13" t="s">
        <v>3</v>
      </c>
      <c r="J767" s="13" t="s">
        <v>2</v>
      </c>
      <c r="L767" s="15">
        <f>AC743</f>
        <v>17449.25</v>
      </c>
    </row>
    <row r="768" spans="1:12" x14ac:dyDescent="0.35">
      <c r="A768" s="4"/>
      <c r="D768" s="1"/>
      <c r="E768" s="1"/>
      <c r="F768" s="1"/>
      <c r="G768" s="1"/>
      <c r="H768" s="13">
        <v>7</v>
      </c>
      <c r="I768" s="13" t="s">
        <v>1</v>
      </c>
      <c r="J768" s="13" t="s">
        <v>0</v>
      </c>
      <c r="L768" s="15">
        <f>AC744</f>
        <v>15955.92</v>
      </c>
    </row>
    <row r="769" spans="1:19" x14ac:dyDescent="0.35">
      <c r="A769" s="4"/>
      <c r="D769" s="1"/>
      <c r="E769" s="1"/>
      <c r="F769" s="1"/>
      <c r="G769" s="1"/>
      <c r="H769" s="13">
        <v>7</v>
      </c>
      <c r="I769" s="13" t="s">
        <v>1</v>
      </c>
      <c r="J769" s="13" t="s">
        <v>2</v>
      </c>
      <c r="L769" s="15">
        <f>AC745</f>
        <v>10979.97</v>
      </c>
    </row>
    <row r="770" spans="1:19" x14ac:dyDescent="0.35">
      <c r="A770" s="4"/>
      <c r="D770" s="1"/>
      <c r="E770" s="1"/>
      <c r="F770" s="1"/>
      <c r="G770" s="1"/>
      <c r="H770" s="13">
        <v>8</v>
      </c>
      <c r="I770" s="13" t="s">
        <v>3</v>
      </c>
      <c r="J770" s="13" t="s">
        <v>0</v>
      </c>
      <c r="L770" s="15">
        <f>AD742</f>
        <v>29100.97</v>
      </c>
    </row>
    <row r="771" spans="1:19" x14ac:dyDescent="0.35">
      <c r="A771" s="4"/>
      <c r="D771" s="1"/>
      <c r="E771" s="1"/>
      <c r="F771" s="1"/>
      <c r="G771" s="1"/>
      <c r="H771" s="13">
        <v>8</v>
      </c>
      <c r="I771" s="13" t="s">
        <v>3</v>
      </c>
      <c r="J771" s="13" t="s">
        <v>2</v>
      </c>
      <c r="L771" s="15">
        <f>AD743</f>
        <v>27212.48</v>
      </c>
    </row>
    <row r="772" spans="1:19" x14ac:dyDescent="0.35">
      <c r="A772" s="4"/>
      <c r="D772" s="1"/>
      <c r="E772" s="1"/>
      <c r="F772" s="1"/>
      <c r="G772" s="1"/>
      <c r="H772" s="13">
        <v>8</v>
      </c>
      <c r="I772" s="13" t="s">
        <v>1</v>
      </c>
      <c r="J772" s="13" t="s">
        <v>0</v>
      </c>
      <c r="L772" s="15">
        <f>AD744</f>
        <v>18038.29</v>
      </c>
    </row>
    <row r="773" spans="1:19" x14ac:dyDescent="0.35">
      <c r="A773" s="4"/>
      <c r="D773" s="1"/>
      <c r="E773" s="1"/>
      <c r="F773" s="1"/>
      <c r="G773" s="1"/>
      <c r="H773" s="13">
        <v>8</v>
      </c>
      <c r="I773" s="13" t="s">
        <v>1</v>
      </c>
      <c r="J773" s="13" t="s">
        <v>2</v>
      </c>
      <c r="L773" s="15">
        <f>AD745</f>
        <v>15567.43</v>
      </c>
    </row>
    <row r="774" spans="1:19" x14ac:dyDescent="0.35">
      <c r="A774" s="4"/>
      <c r="D774" s="1"/>
      <c r="E774" s="1"/>
      <c r="F774" s="1"/>
      <c r="G774" s="1"/>
      <c r="H774" s="13">
        <v>9</v>
      </c>
      <c r="I774" s="13" t="s">
        <v>3</v>
      </c>
      <c r="J774" s="13" t="s">
        <v>0</v>
      </c>
      <c r="L774" s="15">
        <f>AE742</f>
        <v>47904.24</v>
      </c>
    </row>
    <row r="775" spans="1:19" x14ac:dyDescent="0.35">
      <c r="A775" s="4"/>
      <c r="D775" s="1"/>
      <c r="E775" s="1"/>
      <c r="F775" s="1"/>
      <c r="G775" s="1"/>
      <c r="H775" s="13">
        <v>9</v>
      </c>
      <c r="I775" s="13" t="s">
        <v>3</v>
      </c>
      <c r="J775" s="13" t="s">
        <v>2</v>
      </c>
      <c r="L775" s="15">
        <f>AE743</f>
        <v>50226.39</v>
      </c>
    </row>
    <row r="776" spans="1:19" x14ac:dyDescent="0.35">
      <c r="A776" s="4"/>
      <c r="D776" s="1"/>
      <c r="E776" s="1"/>
      <c r="F776" s="1"/>
      <c r="G776" s="1"/>
      <c r="H776" s="13">
        <v>9</v>
      </c>
      <c r="I776" s="13" t="s">
        <v>1</v>
      </c>
      <c r="J776" s="13" t="s">
        <v>0</v>
      </c>
      <c r="L776" s="15">
        <f>AE744</f>
        <v>30894.42</v>
      </c>
    </row>
    <row r="777" spans="1:19" x14ac:dyDescent="0.35">
      <c r="A777" s="4"/>
      <c r="D777" s="1"/>
      <c r="E777" s="1"/>
      <c r="F777" s="1"/>
      <c r="G777" s="1"/>
      <c r="H777" s="13">
        <v>9</v>
      </c>
      <c r="I777" s="13" t="s">
        <v>1</v>
      </c>
      <c r="J777" s="13" t="s">
        <v>2</v>
      </c>
      <c r="L777" s="15">
        <f>AE745</f>
        <v>28382.12</v>
      </c>
    </row>
    <row r="778" spans="1:19" x14ac:dyDescent="0.35">
      <c r="A778" s="4"/>
      <c r="D778" s="1"/>
      <c r="E778" s="1"/>
      <c r="F778" s="1"/>
      <c r="G778" s="1"/>
      <c r="H778" s="13">
        <v>10</v>
      </c>
      <c r="I778" s="13" t="s">
        <v>3</v>
      </c>
      <c r="J778" s="13" t="s">
        <v>0</v>
      </c>
      <c r="L778" s="15">
        <f>AF742</f>
        <v>128440.3</v>
      </c>
    </row>
    <row r="779" spans="1:19" x14ac:dyDescent="0.35">
      <c r="A779" s="4"/>
      <c r="D779" s="1"/>
      <c r="E779" s="1"/>
      <c r="F779" s="1"/>
      <c r="G779" s="1"/>
      <c r="H779" s="13">
        <v>10</v>
      </c>
      <c r="I779" s="13" t="s">
        <v>3</v>
      </c>
      <c r="J779" s="13" t="s">
        <v>2</v>
      </c>
      <c r="L779" s="15">
        <f t="shared" ref="L779:L781" si="15">AF743</f>
        <v>111883.1</v>
      </c>
    </row>
    <row r="780" spans="1:19" x14ac:dyDescent="0.35">
      <c r="A780" s="4"/>
      <c r="D780" s="1"/>
      <c r="E780" s="1"/>
      <c r="F780" s="1"/>
      <c r="G780" s="1"/>
      <c r="H780" s="13">
        <v>10</v>
      </c>
      <c r="I780" s="13" t="s">
        <v>1</v>
      </c>
      <c r="J780" s="13" t="s">
        <v>0</v>
      </c>
      <c r="L780" s="15">
        <f t="shared" si="15"/>
        <v>66897.08</v>
      </c>
    </row>
    <row r="781" spans="1:19" x14ac:dyDescent="0.35">
      <c r="A781" s="4"/>
      <c r="D781" s="1"/>
      <c r="E781" s="1"/>
      <c r="F781" s="1"/>
      <c r="G781" s="1"/>
      <c r="H781" s="13">
        <v>10</v>
      </c>
      <c r="I781" s="13" t="s">
        <v>1</v>
      </c>
      <c r="J781" s="13" t="s">
        <v>2</v>
      </c>
      <c r="L781" s="15">
        <f t="shared" si="15"/>
        <v>52937.93</v>
      </c>
    </row>
    <row r="782" spans="1:19" x14ac:dyDescent="0.35">
      <c r="A782" s="4" t="s">
        <v>14</v>
      </c>
      <c r="D782" s="1" t="s">
        <v>26</v>
      </c>
      <c r="E782" s="1"/>
      <c r="F782" s="1" t="s">
        <v>25</v>
      </c>
      <c r="G782" s="1">
        <v>10</v>
      </c>
      <c r="H782" s="13">
        <v>1</v>
      </c>
      <c r="L782" s="16">
        <f>S782</f>
        <v>4.7014999999999999E-3</v>
      </c>
      <c r="Q782" t="str">
        <f>[1]Sheet4!B235</f>
        <v>       .0047015</v>
      </c>
      <c r="S782">
        <v>4.7014999999999999E-3</v>
      </c>
    </row>
    <row r="783" spans="1:19" x14ac:dyDescent="0.35">
      <c r="A783" s="4"/>
      <c r="D783" s="1"/>
      <c r="E783" s="1"/>
      <c r="F783" s="1"/>
      <c r="G783" s="1"/>
      <c r="H783" s="13">
        <v>2</v>
      </c>
      <c r="L783" s="16">
        <f t="shared" ref="L783:L791" si="16">S783</f>
        <v>9.4298000000000003E-3</v>
      </c>
      <c r="Q783" t="str">
        <f>[1]Sheet4!B236</f>
        <v>       .0094298</v>
      </c>
      <c r="S783">
        <v>9.4298000000000003E-3</v>
      </c>
    </row>
    <row r="784" spans="1:19" x14ac:dyDescent="0.35">
      <c r="A784" s="4"/>
      <c r="D784" s="1"/>
      <c r="E784" s="1"/>
      <c r="F784" s="1"/>
      <c r="G784" s="1"/>
      <c r="H784" s="13">
        <v>3</v>
      </c>
      <c r="L784" s="16">
        <f t="shared" si="16"/>
        <v>1.42255E-2</v>
      </c>
      <c r="Q784" t="str">
        <f>[1]Sheet4!B237</f>
        <v>       .0142255</v>
      </c>
      <c r="S784">
        <v>1.42255E-2</v>
      </c>
    </row>
    <row r="785" spans="1:32" x14ac:dyDescent="0.35">
      <c r="A785" s="4"/>
      <c r="D785" s="1"/>
      <c r="E785" s="1"/>
      <c r="F785" s="1"/>
      <c r="G785" s="1"/>
      <c r="H785" s="13">
        <v>4</v>
      </c>
      <c r="L785" s="16">
        <f t="shared" si="16"/>
        <v>2.0611600000000001E-2</v>
      </c>
      <c r="Q785" t="str">
        <f>[1]Sheet4!B238</f>
        <v>       .0206116</v>
      </c>
      <c r="S785">
        <v>2.0611600000000001E-2</v>
      </c>
    </row>
    <row r="786" spans="1:32" x14ac:dyDescent="0.35">
      <c r="A786" s="4"/>
      <c r="D786" s="1"/>
      <c r="E786" s="1"/>
      <c r="F786" s="1"/>
      <c r="G786" s="1"/>
      <c r="H786" s="13">
        <v>5</v>
      </c>
      <c r="L786" s="16">
        <f t="shared" si="16"/>
        <v>2.7939499999999999E-2</v>
      </c>
      <c r="Q786" t="str">
        <f>[1]Sheet4!B239</f>
        <v>       .0279395</v>
      </c>
      <c r="S786">
        <v>2.7939499999999999E-2</v>
      </c>
    </row>
    <row r="787" spans="1:32" x14ac:dyDescent="0.35">
      <c r="A787" s="4"/>
      <c r="D787" s="1"/>
      <c r="E787" s="1"/>
      <c r="F787" s="1"/>
      <c r="G787" s="1"/>
      <c r="H787" s="13">
        <v>6</v>
      </c>
      <c r="L787" s="16">
        <f t="shared" si="16"/>
        <v>3.9680399999999998E-2</v>
      </c>
      <c r="Q787" t="str">
        <f>[1]Sheet4!B240</f>
        <v>       .0396804</v>
      </c>
      <c r="S787">
        <v>3.9680399999999998E-2</v>
      </c>
    </row>
    <row r="788" spans="1:32" x14ac:dyDescent="0.35">
      <c r="A788" s="4"/>
      <c r="D788" s="1"/>
      <c r="E788" s="1"/>
      <c r="F788" s="1"/>
      <c r="G788" s="1"/>
      <c r="H788" s="13">
        <v>7</v>
      </c>
      <c r="L788" s="16">
        <f t="shared" si="16"/>
        <v>5.94067E-2</v>
      </c>
      <c r="Q788" t="str">
        <f>[1]Sheet4!B241</f>
        <v>       .0594067</v>
      </c>
      <c r="S788">
        <v>5.94067E-2</v>
      </c>
    </row>
    <row r="789" spans="1:32" x14ac:dyDescent="0.35">
      <c r="A789" s="4"/>
      <c r="D789" s="1"/>
      <c r="E789" s="1"/>
      <c r="F789" s="1"/>
      <c r="G789" s="1"/>
      <c r="H789" s="13">
        <v>8</v>
      </c>
      <c r="L789" s="16">
        <f t="shared" si="16"/>
        <v>9.2641600000000005E-2</v>
      </c>
      <c r="Q789" t="str">
        <f>[1]Sheet4!B242</f>
        <v>       .0926416</v>
      </c>
      <c r="S789">
        <v>9.2641600000000005E-2</v>
      </c>
    </row>
    <row r="790" spans="1:32" x14ac:dyDescent="0.35">
      <c r="A790" s="4"/>
      <c r="D790" s="1"/>
      <c r="E790" s="1"/>
      <c r="F790" s="1"/>
      <c r="G790" s="1"/>
      <c r="H790" s="13">
        <v>9</v>
      </c>
      <c r="L790" s="16">
        <f t="shared" si="16"/>
        <v>0.17220089999999999</v>
      </c>
      <c r="Q790" t="str">
        <f>[1]Sheet4!B243</f>
        <v>       .1722009</v>
      </c>
      <c r="S790">
        <v>0.17220089999999999</v>
      </c>
    </row>
    <row r="791" spans="1:32" x14ac:dyDescent="0.35">
      <c r="A791" s="4"/>
      <c r="D791" s="1"/>
      <c r="E791" s="1"/>
      <c r="F791" s="1"/>
      <c r="G791" s="1"/>
      <c r="H791" s="13">
        <v>10</v>
      </c>
      <c r="L791" s="16">
        <f t="shared" si="16"/>
        <v>0.55916259999999995</v>
      </c>
      <c r="Q791" t="str">
        <f>[1]Sheet4!B244</f>
        <v>       .5591626</v>
      </c>
      <c r="S791">
        <v>0.55916259999999995</v>
      </c>
    </row>
    <row r="792" spans="1:32" x14ac:dyDescent="0.35">
      <c r="A792" s="4" t="s">
        <v>14</v>
      </c>
      <c r="D792" s="1" t="s">
        <v>24</v>
      </c>
      <c r="E792" s="1" t="s">
        <v>22</v>
      </c>
      <c r="F792" s="1" t="s">
        <v>21</v>
      </c>
      <c r="G792" s="1">
        <v>1</v>
      </c>
      <c r="L792" s="13" t="str">
        <f>[2]Sheet4!$C$287</f>
        <v>  55378578.4</v>
      </c>
    </row>
    <row r="793" spans="1:32" x14ac:dyDescent="0.35">
      <c r="A793" s="4" t="s">
        <v>14</v>
      </c>
      <c r="D793" s="1" t="s">
        <v>23</v>
      </c>
      <c r="E793" s="1" t="s">
        <v>22</v>
      </c>
      <c r="F793" s="1" t="s">
        <v>21</v>
      </c>
      <c r="G793" s="1">
        <v>4</v>
      </c>
      <c r="I793" s="12" t="s">
        <v>3</v>
      </c>
      <c r="J793" s="13" t="s">
        <v>0</v>
      </c>
      <c r="L793" s="18">
        <f>O793</f>
        <v>99188.73</v>
      </c>
      <c r="O793">
        <v>99188.73</v>
      </c>
      <c r="P793" s="17" t="str">
        <f>[2]Sheet4!$B$297</f>
        <v>          99188.73</v>
      </c>
    </row>
    <row r="794" spans="1:32" x14ac:dyDescent="0.35">
      <c r="A794" s="4"/>
      <c r="D794" s="1"/>
      <c r="E794" s="1"/>
      <c r="F794" s="1"/>
      <c r="G794" s="1"/>
      <c r="I794" s="12" t="s">
        <v>3</v>
      </c>
      <c r="J794" s="13" t="s">
        <v>2</v>
      </c>
      <c r="L794" s="18">
        <f t="shared" ref="L794:L796" si="17">O794</f>
        <v>86087.46</v>
      </c>
      <c r="O794">
        <v>86087.46</v>
      </c>
      <c r="P794" s="17" t="str">
        <f>[2]Sheet4!$B$298</f>
        <v>          86087.46</v>
      </c>
    </row>
    <row r="795" spans="1:32" x14ac:dyDescent="0.35">
      <c r="A795" s="4"/>
      <c r="D795" s="1"/>
      <c r="E795" s="1"/>
      <c r="F795" s="1"/>
      <c r="G795" s="1"/>
      <c r="I795" s="13" t="s">
        <v>1</v>
      </c>
      <c r="J795" s="13" t="s">
        <v>0</v>
      </c>
      <c r="L795" s="18">
        <f t="shared" si="17"/>
        <v>38295.519999999997</v>
      </c>
      <c r="O795">
        <v>38295.519999999997</v>
      </c>
      <c r="P795" s="18" t="str">
        <f>[2]Sheet4!$C$297</f>
        <v>           38295.52</v>
      </c>
    </row>
    <row r="796" spans="1:32" x14ac:dyDescent="0.35">
      <c r="A796" s="4"/>
      <c r="D796" s="1"/>
      <c r="E796" s="1"/>
      <c r="F796" s="1"/>
      <c r="G796" s="1"/>
      <c r="I796" s="13" t="s">
        <v>1</v>
      </c>
      <c r="J796" s="13" t="s">
        <v>2</v>
      </c>
      <c r="L796" s="18">
        <f t="shared" si="17"/>
        <v>30840.49</v>
      </c>
      <c r="O796">
        <v>30840.49</v>
      </c>
      <c r="P796" s="18" t="str">
        <f>[2]Sheet4!$C$298</f>
        <v>           30840.49</v>
      </c>
    </row>
    <row r="797" spans="1:32" x14ac:dyDescent="0.35">
      <c r="A797" s="4" t="s">
        <v>14</v>
      </c>
      <c r="D797" s="7" t="s">
        <v>71</v>
      </c>
      <c r="E797" s="1" t="s">
        <v>22</v>
      </c>
      <c r="F797" s="1" t="s">
        <v>21</v>
      </c>
      <c r="G797" s="1">
        <v>40</v>
      </c>
      <c r="H797" s="13">
        <v>1</v>
      </c>
      <c r="I797" s="13" t="s">
        <v>3</v>
      </c>
      <c r="J797" s="13" t="s">
        <v>0</v>
      </c>
      <c r="L797" s="13">
        <f>W797</f>
        <v>2684.616</v>
      </c>
      <c r="Q797" t="str">
        <f>[1]Sheet4!B309</f>
        <v> 2684.616</v>
      </c>
      <c r="R797" t="str">
        <f>[1]Sheet4!C309</f>
        <v>  2590.993</v>
      </c>
      <c r="S797" t="str">
        <f>[1]Sheet4!D309</f>
        <v>    2337.575</v>
      </c>
      <c r="T797" t="str">
        <f>[1]Sheet4!E309</f>
        <v>  2608.158</v>
      </c>
      <c r="W797">
        <v>2684.616</v>
      </c>
      <c r="X797">
        <v>4951.8909999999996</v>
      </c>
      <c r="Y797">
        <v>7573.3509999999997</v>
      </c>
      <c r="Z797">
        <v>11059.52</v>
      </c>
      <c r="AA797">
        <v>16260.21</v>
      </c>
      <c r="AB797">
        <v>24306.799999999999</v>
      </c>
      <c r="AC797">
        <v>39210.800000000003</v>
      </c>
      <c r="AD797">
        <v>59409.84</v>
      </c>
      <c r="AE797">
        <v>103233</v>
      </c>
      <c r="AF797">
        <v>356500.2</v>
      </c>
    </row>
    <row r="798" spans="1:32" x14ac:dyDescent="0.35">
      <c r="A798" s="4"/>
      <c r="D798" s="1"/>
      <c r="E798" s="1"/>
      <c r="F798" s="1"/>
      <c r="G798" s="1"/>
      <c r="H798" s="13">
        <v>1</v>
      </c>
      <c r="I798" s="13" t="s">
        <v>3</v>
      </c>
      <c r="J798" s="13" t="s">
        <v>2</v>
      </c>
      <c r="L798" s="13">
        <f>W798</f>
        <v>2590.9929999999999</v>
      </c>
      <c r="Q798" t="str">
        <f>[1]Sheet4!B310</f>
        <v> 4951.891</v>
      </c>
      <c r="R798" t="str">
        <f>[1]Sheet4!C310</f>
        <v>   5782.54</v>
      </c>
      <c r="S798" t="str">
        <f>[1]Sheet4!D310</f>
        <v>    4570.478</v>
      </c>
      <c r="T798" t="str">
        <f>[1]Sheet4!E310</f>
        <v>  5249.417</v>
      </c>
      <c r="W798">
        <v>2590.9929999999999</v>
      </c>
      <c r="X798">
        <v>5782.54</v>
      </c>
      <c r="Y798">
        <v>8803.8080000000009</v>
      </c>
      <c r="Z798">
        <v>11657.85</v>
      </c>
      <c r="AA798">
        <v>15777.56</v>
      </c>
      <c r="AB798">
        <v>19794.84</v>
      </c>
      <c r="AC798">
        <v>26364.04</v>
      </c>
      <c r="AD798">
        <v>41526.879999999997</v>
      </c>
      <c r="AE798">
        <v>83963.1</v>
      </c>
      <c r="AF798">
        <v>251770</v>
      </c>
    </row>
    <row r="799" spans="1:32" x14ac:dyDescent="0.35">
      <c r="A799" s="4"/>
      <c r="D799" s="1"/>
      <c r="E799" s="1"/>
      <c r="F799" s="1"/>
      <c r="G799" s="1"/>
      <c r="H799" s="13">
        <v>1</v>
      </c>
      <c r="I799" s="13" t="s">
        <v>1</v>
      </c>
      <c r="J799" s="13" t="s">
        <v>0</v>
      </c>
      <c r="L799" s="13">
        <f>W799</f>
        <v>2337.5749999999998</v>
      </c>
      <c r="Q799" t="str">
        <f>[1]Sheet4!B311</f>
        <v> 7573.351</v>
      </c>
      <c r="R799" t="str">
        <f>[1]Sheet4!C311</f>
        <v>  8803.808</v>
      </c>
      <c r="S799" t="str">
        <f>[1]Sheet4!D311</f>
        <v>     7034.99</v>
      </c>
      <c r="T799" t="str">
        <f>[1]Sheet4!E311</f>
        <v>   7547.84</v>
      </c>
      <c r="W799">
        <v>2337.5749999999998</v>
      </c>
      <c r="X799">
        <v>4570.4780000000001</v>
      </c>
      <c r="Y799">
        <v>7034.99</v>
      </c>
      <c r="Z799">
        <v>11499.9</v>
      </c>
      <c r="AA799">
        <v>15369.03</v>
      </c>
      <c r="AB799">
        <v>23447.81</v>
      </c>
      <c r="AC799">
        <v>37471.51</v>
      </c>
      <c r="AD799">
        <v>57891.65</v>
      </c>
      <c r="AE799">
        <v>104796.6</v>
      </c>
      <c r="AF799">
        <v>342366.4</v>
      </c>
    </row>
    <row r="800" spans="1:32" x14ac:dyDescent="0.35">
      <c r="A800" s="4"/>
      <c r="D800" s="1"/>
      <c r="E800" s="1"/>
      <c r="F800" s="1"/>
      <c r="G800" s="1"/>
      <c r="H800" s="13">
        <v>1</v>
      </c>
      <c r="I800" s="13" t="s">
        <v>1</v>
      </c>
      <c r="J800" s="13" t="s">
        <v>2</v>
      </c>
      <c r="L800" s="13">
        <f>W800</f>
        <v>2608.1579999999999</v>
      </c>
      <c r="Q800" t="str">
        <f>[1]Sheet4!B312</f>
        <v> 11059.52</v>
      </c>
      <c r="R800" t="str">
        <f>[1]Sheet4!C312</f>
        <v>  11657.85</v>
      </c>
      <c r="S800" t="str">
        <f>[1]Sheet4!D312</f>
        <v>     11499.9</v>
      </c>
      <c r="T800" t="str">
        <f>[1]Sheet4!E312</f>
        <v>  10193.37</v>
      </c>
      <c r="W800">
        <v>2608.1579999999999</v>
      </c>
      <c r="X800">
        <v>5249.4170000000004</v>
      </c>
      <c r="Y800">
        <v>7547.84</v>
      </c>
      <c r="Z800">
        <v>10193.370000000001</v>
      </c>
      <c r="AA800">
        <v>13643.99</v>
      </c>
      <c r="AB800">
        <v>18222.79</v>
      </c>
      <c r="AC800">
        <v>24549.47</v>
      </c>
      <c r="AD800">
        <v>35844.53</v>
      </c>
      <c r="AE800">
        <v>73162.600000000006</v>
      </c>
      <c r="AF800">
        <v>178674.5</v>
      </c>
    </row>
    <row r="801" spans="1:20" x14ac:dyDescent="0.35">
      <c r="A801" s="4"/>
      <c r="D801" s="1"/>
      <c r="E801" s="1"/>
      <c r="F801" s="1"/>
      <c r="G801" s="1"/>
      <c r="H801" s="13">
        <v>2</v>
      </c>
      <c r="I801" s="13" t="s">
        <v>3</v>
      </c>
      <c r="J801" s="13" t="s">
        <v>0</v>
      </c>
      <c r="L801" s="13">
        <f>X797</f>
        <v>4951.8909999999996</v>
      </c>
      <c r="Q801" t="str">
        <f>[1]Sheet4!B313</f>
        <v> 16260.21</v>
      </c>
      <c r="R801" t="str">
        <f>[1]Sheet4!C313</f>
        <v>  15777.56</v>
      </c>
      <c r="S801" t="str">
        <f>[1]Sheet4!D313</f>
        <v>    15369.03</v>
      </c>
      <c r="T801" t="str">
        <f>[1]Sheet4!E313</f>
        <v>  13643.99</v>
      </c>
    </row>
    <row r="802" spans="1:20" x14ac:dyDescent="0.35">
      <c r="A802" s="4"/>
      <c r="D802" s="1"/>
      <c r="E802" s="1"/>
      <c r="F802" s="1"/>
      <c r="G802" s="1"/>
      <c r="H802" s="13">
        <v>2</v>
      </c>
      <c r="I802" s="13" t="s">
        <v>3</v>
      </c>
      <c r="J802" s="13" t="s">
        <v>2</v>
      </c>
      <c r="L802" s="13">
        <f>X798</f>
        <v>5782.54</v>
      </c>
      <c r="Q802" t="str">
        <f>[1]Sheet4!B314</f>
        <v>  24306.8</v>
      </c>
      <c r="R802" t="str">
        <f>[1]Sheet4!C314</f>
        <v>  19794.84</v>
      </c>
      <c r="S802" t="str">
        <f>[1]Sheet4!D314</f>
        <v>    23447.81</v>
      </c>
      <c r="T802" t="str">
        <f>[1]Sheet4!E314</f>
        <v>  18222.79</v>
      </c>
    </row>
    <row r="803" spans="1:20" x14ac:dyDescent="0.35">
      <c r="A803" s="4"/>
      <c r="D803" s="1"/>
      <c r="E803" s="1"/>
      <c r="F803" s="1"/>
      <c r="G803" s="1"/>
      <c r="H803" s="13">
        <v>2</v>
      </c>
      <c r="I803" s="13" t="s">
        <v>1</v>
      </c>
      <c r="J803" s="13" t="s">
        <v>0</v>
      </c>
      <c r="L803" s="13">
        <f>X799</f>
        <v>4570.4780000000001</v>
      </c>
      <c r="Q803" t="str">
        <f>[1]Sheet4!B315</f>
        <v>  39210.8</v>
      </c>
      <c r="R803" t="str">
        <f>[1]Sheet4!C315</f>
        <v>  26364.04</v>
      </c>
      <c r="S803" t="str">
        <f>[1]Sheet4!D315</f>
        <v>    37471.51</v>
      </c>
      <c r="T803" t="str">
        <f>[1]Sheet4!E315</f>
        <v>  24549.47</v>
      </c>
    </row>
    <row r="804" spans="1:20" x14ac:dyDescent="0.35">
      <c r="A804" s="4"/>
      <c r="D804" s="1"/>
      <c r="E804" s="1"/>
      <c r="F804" s="1"/>
      <c r="G804" s="1"/>
      <c r="H804" s="13">
        <v>2</v>
      </c>
      <c r="I804" s="13" t="s">
        <v>1</v>
      </c>
      <c r="J804" s="13" t="s">
        <v>2</v>
      </c>
      <c r="L804" s="13">
        <f>X800</f>
        <v>5249.4170000000004</v>
      </c>
      <c r="Q804" t="str">
        <f>[1]Sheet4!B316</f>
        <v> 59409.84</v>
      </c>
      <c r="R804" t="str">
        <f>[1]Sheet4!C316</f>
        <v>  41526.88</v>
      </c>
      <c r="S804" t="str">
        <f>[1]Sheet4!D316</f>
        <v>    57891.65</v>
      </c>
      <c r="T804" t="str">
        <f>[1]Sheet4!E316</f>
        <v>  35844.53</v>
      </c>
    </row>
    <row r="805" spans="1:20" x14ac:dyDescent="0.35">
      <c r="A805" s="4"/>
      <c r="D805" s="1"/>
      <c r="E805" s="1"/>
      <c r="F805" s="1" t="s">
        <v>69</v>
      </c>
      <c r="G805" s="1"/>
      <c r="H805" s="13">
        <v>3</v>
      </c>
      <c r="I805" s="13" t="s">
        <v>3</v>
      </c>
      <c r="J805" s="13" t="s">
        <v>0</v>
      </c>
      <c r="L805" s="13">
        <f>Y797</f>
        <v>7573.3509999999997</v>
      </c>
      <c r="Q805" t="str">
        <f>[1]Sheet4!B317</f>
        <v>   103233</v>
      </c>
      <c r="R805" t="str">
        <f>[1]Sheet4!C317</f>
        <v>   83963.1</v>
      </c>
      <c r="S805" t="str">
        <f>[1]Sheet4!D317</f>
        <v>    104796.6</v>
      </c>
      <c r="T805" t="str">
        <f>[1]Sheet4!E317</f>
        <v>   73162.6</v>
      </c>
    </row>
    <row r="806" spans="1:20" x14ac:dyDescent="0.35">
      <c r="A806" s="4"/>
      <c r="D806" s="1"/>
      <c r="E806" s="1"/>
      <c r="F806" s="1"/>
      <c r="G806" s="1"/>
      <c r="H806" s="13">
        <v>3</v>
      </c>
      <c r="I806" s="13" t="s">
        <v>3</v>
      </c>
      <c r="J806" s="13" t="s">
        <v>2</v>
      </c>
      <c r="L806" s="13">
        <f>Y798</f>
        <v>8803.8080000000009</v>
      </c>
      <c r="Q806" t="str">
        <f>[1]Sheet4!B318</f>
        <v> 356500.2</v>
      </c>
      <c r="R806" t="str">
        <f>[1]Sheet4!C318</f>
        <v>    251770</v>
      </c>
      <c r="S806" t="str">
        <f>[1]Sheet4!D318</f>
        <v>    342366.4</v>
      </c>
      <c r="T806" t="str">
        <f>[1]Sheet4!E318</f>
        <v>  178674.5</v>
      </c>
    </row>
    <row r="807" spans="1:20" x14ac:dyDescent="0.35">
      <c r="A807" s="4"/>
      <c r="D807" s="1"/>
      <c r="E807" s="1"/>
      <c r="F807" s="1"/>
      <c r="G807" s="1"/>
      <c r="H807" s="13">
        <v>3</v>
      </c>
      <c r="I807" s="13" t="s">
        <v>1</v>
      </c>
      <c r="J807" s="13" t="s">
        <v>0</v>
      </c>
      <c r="L807" s="13">
        <f>Y799</f>
        <v>7034.99</v>
      </c>
    </row>
    <row r="808" spans="1:20" x14ac:dyDescent="0.35">
      <c r="A808" s="4"/>
      <c r="D808" s="1"/>
      <c r="E808" s="1"/>
      <c r="F808" s="1"/>
      <c r="G808" s="1"/>
      <c r="H808" s="13">
        <v>3</v>
      </c>
      <c r="I808" s="13" t="s">
        <v>1</v>
      </c>
      <c r="J808" s="13" t="s">
        <v>2</v>
      </c>
      <c r="L808" s="13">
        <f>Y800</f>
        <v>7547.84</v>
      </c>
    </row>
    <row r="809" spans="1:20" x14ac:dyDescent="0.35">
      <c r="A809" s="4"/>
      <c r="D809" s="1"/>
      <c r="E809" s="1"/>
      <c r="F809" s="1" t="s">
        <v>68</v>
      </c>
      <c r="G809" s="1"/>
      <c r="H809" s="13">
        <v>4</v>
      </c>
      <c r="I809" s="13" t="s">
        <v>3</v>
      </c>
      <c r="J809" s="13" t="s">
        <v>0</v>
      </c>
      <c r="L809" s="13">
        <f>Z797</f>
        <v>11059.52</v>
      </c>
    </row>
    <row r="810" spans="1:20" x14ac:dyDescent="0.35">
      <c r="A810" s="4"/>
      <c r="D810" s="1"/>
      <c r="E810" s="1"/>
      <c r="F810" s="1"/>
      <c r="G810" s="1"/>
      <c r="H810" s="13">
        <v>4</v>
      </c>
      <c r="I810" s="13" t="s">
        <v>3</v>
      </c>
      <c r="J810" s="13" t="s">
        <v>2</v>
      </c>
      <c r="L810" s="13">
        <f>Z798</f>
        <v>11657.85</v>
      </c>
    </row>
    <row r="811" spans="1:20" x14ac:dyDescent="0.35">
      <c r="A811" s="4"/>
      <c r="D811" s="1"/>
      <c r="E811" s="1"/>
      <c r="F811" s="1"/>
      <c r="G811" s="1"/>
      <c r="H811" s="13">
        <v>4</v>
      </c>
      <c r="I811" s="13" t="s">
        <v>1</v>
      </c>
      <c r="J811" s="13" t="s">
        <v>0</v>
      </c>
      <c r="L811" s="13">
        <f>Z799</f>
        <v>11499.9</v>
      </c>
    </row>
    <row r="812" spans="1:20" x14ac:dyDescent="0.35">
      <c r="A812" s="4"/>
      <c r="D812" s="1"/>
      <c r="E812" s="1"/>
      <c r="F812" s="1"/>
      <c r="G812" s="1"/>
      <c r="H812" s="13">
        <v>4</v>
      </c>
      <c r="I812" s="13" t="s">
        <v>1</v>
      </c>
      <c r="J812" s="13" t="s">
        <v>2</v>
      </c>
      <c r="L812" s="13">
        <f>Z800</f>
        <v>10193.370000000001</v>
      </c>
    </row>
    <row r="813" spans="1:20" x14ac:dyDescent="0.35">
      <c r="A813" s="4"/>
      <c r="D813" s="1"/>
      <c r="E813" s="1"/>
      <c r="F813" s="1"/>
      <c r="G813" s="1"/>
      <c r="H813" s="13">
        <v>5</v>
      </c>
      <c r="I813" s="13" t="s">
        <v>3</v>
      </c>
      <c r="J813" s="13" t="s">
        <v>0</v>
      </c>
      <c r="L813" s="13">
        <f>AA797</f>
        <v>16260.21</v>
      </c>
    </row>
    <row r="814" spans="1:20" x14ac:dyDescent="0.35">
      <c r="A814" s="4"/>
      <c r="D814" s="1"/>
      <c r="E814" s="1"/>
      <c r="F814" s="1" t="s">
        <v>70</v>
      </c>
      <c r="G814" s="1"/>
      <c r="H814" s="13">
        <v>5</v>
      </c>
      <c r="I814" s="13" t="s">
        <v>3</v>
      </c>
      <c r="J814" s="13" t="s">
        <v>2</v>
      </c>
      <c r="L814" s="13">
        <f>AA798</f>
        <v>15777.56</v>
      </c>
    </row>
    <row r="815" spans="1:20" x14ac:dyDescent="0.35">
      <c r="A815" s="4"/>
      <c r="D815" s="1"/>
      <c r="E815" s="1"/>
      <c r="F815" s="1"/>
      <c r="G815" s="1"/>
      <c r="H815" s="13">
        <v>5</v>
      </c>
      <c r="I815" s="13" t="s">
        <v>1</v>
      </c>
      <c r="J815" s="13" t="s">
        <v>0</v>
      </c>
      <c r="L815" s="13">
        <f>AA799</f>
        <v>15369.03</v>
      </c>
    </row>
    <row r="816" spans="1:20" x14ac:dyDescent="0.35">
      <c r="A816" s="4"/>
      <c r="D816" s="1"/>
      <c r="E816" s="1"/>
      <c r="F816" s="1"/>
      <c r="G816" s="1"/>
      <c r="H816" s="13">
        <v>5</v>
      </c>
      <c r="I816" s="13" t="s">
        <v>1</v>
      </c>
      <c r="J816" s="13" t="s">
        <v>2</v>
      </c>
      <c r="L816" s="13">
        <f>AA800</f>
        <v>13643.99</v>
      </c>
    </row>
    <row r="817" spans="1:12" x14ac:dyDescent="0.35">
      <c r="A817" s="4"/>
      <c r="D817" s="1"/>
      <c r="E817" s="1"/>
      <c r="F817" s="1"/>
      <c r="G817" s="1"/>
      <c r="H817" s="13">
        <v>6</v>
      </c>
      <c r="I817" s="13" t="s">
        <v>3</v>
      </c>
      <c r="J817" s="13" t="s">
        <v>0</v>
      </c>
      <c r="L817" s="13">
        <f>AB797</f>
        <v>24306.799999999999</v>
      </c>
    </row>
    <row r="818" spans="1:12" x14ac:dyDescent="0.35">
      <c r="A818" s="4"/>
      <c r="D818" s="1"/>
      <c r="E818" s="1"/>
      <c r="F818" s="1"/>
      <c r="G818" s="1"/>
      <c r="H818" s="13">
        <v>6</v>
      </c>
      <c r="I818" s="13" t="s">
        <v>3</v>
      </c>
      <c r="J818" s="13" t="s">
        <v>2</v>
      </c>
      <c r="L818" s="13">
        <f>AB798</f>
        <v>19794.84</v>
      </c>
    </row>
    <row r="819" spans="1:12" x14ac:dyDescent="0.35">
      <c r="A819" s="4"/>
      <c r="D819" s="1"/>
      <c r="E819" s="1"/>
      <c r="F819" s="1"/>
      <c r="G819" s="1"/>
      <c r="H819" s="13">
        <v>6</v>
      </c>
      <c r="I819" s="13" t="s">
        <v>1</v>
      </c>
      <c r="J819" s="13" t="s">
        <v>0</v>
      </c>
      <c r="L819" s="13">
        <f>AB799</f>
        <v>23447.81</v>
      </c>
    </row>
    <row r="820" spans="1:12" x14ac:dyDescent="0.35">
      <c r="A820" s="4"/>
      <c r="D820" s="1"/>
      <c r="E820" s="1"/>
      <c r="F820" s="1"/>
      <c r="G820" s="1"/>
      <c r="H820" s="13">
        <v>6</v>
      </c>
      <c r="I820" s="13" t="s">
        <v>1</v>
      </c>
      <c r="J820" s="13" t="s">
        <v>2</v>
      </c>
      <c r="L820" s="13">
        <f>AB800</f>
        <v>18222.79</v>
      </c>
    </row>
    <row r="821" spans="1:12" x14ac:dyDescent="0.35">
      <c r="A821" s="4"/>
      <c r="D821" s="1"/>
      <c r="E821" s="1"/>
      <c r="F821" s="1"/>
      <c r="G821" s="1"/>
      <c r="H821" s="13">
        <v>7</v>
      </c>
      <c r="I821" s="13" t="s">
        <v>3</v>
      </c>
      <c r="J821" s="13" t="s">
        <v>0</v>
      </c>
      <c r="L821" s="13">
        <f>AC797</f>
        <v>39210.800000000003</v>
      </c>
    </row>
    <row r="822" spans="1:12" x14ac:dyDescent="0.35">
      <c r="A822" s="4"/>
      <c r="D822" s="1"/>
      <c r="E822" s="1"/>
      <c r="F822" s="1"/>
      <c r="G822" s="1"/>
      <c r="H822" s="13">
        <v>7</v>
      </c>
      <c r="I822" s="13" t="s">
        <v>3</v>
      </c>
      <c r="J822" s="13" t="s">
        <v>2</v>
      </c>
      <c r="L822" s="13">
        <f>AC798</f>
        <v>26364.04</v>
      </c>
    </row>
    <row r="823" spans="1:12" x14ac:dyDescent="0.35">
      <c r="A823" s="4"/>
      <c r="D823" s="1"/>
      <c r="E823" s="1"/>
      <c r="F823" s="1"/>
      <c r="G823" s="1"/>
      <c r="H823" s="13">
        <v>7</v>
      </c>
      <c r="I823" s="13" t="s">
        <v>1</v>
      </c>
      <c r="J823" s="13" t="s">
        <v>0</v>
      </c>
      <c r="L823" s="13">
        <f>AC799</f>
        <v>37471.51</v>
      </c>
    </row>
    <row r="824" spans="1:12" x14ac:dyDescent="0.35">
      <c r="A824" s="4"/>
      <c r="D824" s="1"/>
      <c r="E824" s="1"/>
      <c r="F824" s="1"/>
      <c r="G824" s="1"/>
      <c r="H824" s="13">
        <v>7</v>
      </c>
      <c r="I824" s="13" t="s">
        <v>1</v>
      </c>
      <c r="J824" s="13" t="s">
        <v>2</v>
      </c>
      <c r="L824" s="13">
        <f>AC800</f>
        <v>24549.47</v>
      </c>
    </row>
    <row r="825" spans="1:12" x14ac:dyDescent="0.35">
      <c r="A825" s="4"/>
      <c r="D825" s="1"/>
      <c r="E825" s="1"/>
      <c r="F825" s="1"/>
      <c r="G825" s="1"/>
      <c r="H825" s="13">
        <v>8</v>
      </c>
      <c r="I825" s="13" t="s">
        <v>3</v>
      </c>
      <c r="J825" s="13" t="s">
        <v>0</v>
      </c>
      <c r="L825" s="13">
        <f>AD797</f>
        <v>59409.84</v>
      </c>
    </row>
    <row r="826" spans="1:12" x14ac:dyDescent="0.35">
      <c r="A826" s="4"/>
      <c r="D826" s="1"/>
      <c r="E826" s="1"/>
      <c r="F826" s="1"/>
      <c r="G826" s="1"/>
      <c r="H826" s="13">
        <v>8</v>
      </c>
      <c r="I826" s="13" t="s">
        <v>3</v>
      </c>
      <c r="J826" s="13" t="s">
        <v>2</v>
      </c>
      <c r="L826" s="13">
        <f>AD798</f>
        <v>41526.879999999997</v>
      </c>
    </row>
    <row r="827" spans="1:12" x14ac:dyDescent="0.35">
      <c r="A827" s="4"/>
      <c r="D827" s="1"/>
      <c r="E827" s="1"/>
      <c r="F827" s="1"/>
      <c r="G827" s="1"/>
      <c r="H827" s="13">
        <v>8</v>
      </c>
      <c r="I827" s="13" t="s">
        <v>1</v>
      </c>
      <c r="J827" s="13" t="s">
        <v>0</v>
      </c>
      <c r="L827" s="13">
        <f>AD799</f>
        <v>57891.65</v>
      </c>
    </row>
    <row r="828" spans="1:12" x14ac:dyDescent="0.35">
      <c r="A828" s="4"/>
      <c r="D828" s="1"/>
      <c r="E828" s="1"/>
      <c r="F828" s="1"/>
      <c r="G828" s="1"/>
      <c r="H828" s="13">
        <v>8</v>
      </c>
      <c r="I828" s="13" t="s">
        <v>1</v>
      </c>
      <c r="J828" s="13" t="s">
        <v>2</v>
      </c>
      <c r="L828" s="13">
        <f>AD800</f>
        <v>35844.53</v>
      </c>
    </row>
    <row r="829" spans="1:12" x14ac:dyDescent="0.35">
      <c r="A829" s="4"/>
      <c r="D829" s="1"/>
      <c r="E829" s="1"/>
      <c r="F829" s="1"/>
      <c r="G829" s="1"/>
      <c r="H829" s="13">
        <v>9</v>
      </c>
      <c r="I829" s="13" t="s">
        <v>3</v>
      </c>
      <c r="J829" s="13" t="s">
        <v>0</v>
      </c>
      <c r="L829" s="13">
        <f>AE797</f>
        <v>103233</v>
      </c>
    </row>
    <row r="830" spans="1:12" x14ac:dyDescent="0.35">
      <c r="A830" s="4"/>
      <c r="D830" s="1"/>
      <c r="E830" s="1"/>
      <c r="F830" s="1"/>
      <c r="G830" s="1"/>
      <c r="H830" s="13">
        <v>9</v>
      </c>
      <c r="I830" s="13" t="s">
        <v>3</v>
      </c>
      <c r="J830" s="13" t="s">
        <v>2</v>
      </c>
      <c r="L830" s="13">
        <f>AE798</f>
        <v>83963.1</v>
      </c>
    </row>
    <row r="831" spans="1:12" x14ac:dyDescent="0.35">
      <c r="A831" s="4"/>
      <c r="D831" s="1"/>
      <c r="E831" s="1"/>
      <c r="F831" s="1"/>
      <c r="G831" s="1"/>
      <c r="H831" s="13">
        <v>9</v>
      </c>
      <c r="I831" s="13" t="s">
        <v>1</v>
      </c>
      <c r="J831" s="13" t="s">
        <v>0</v>
      </c>
      <c r="L831" s="13">
        <f>AE799</f>
        <v>104796.6</v>
      </c>
    </row>
    <row r="832" spans="1:12" x14ac:dyDescent="0.35">
      <c r="A832" s="4"/>
      <c r="D832" s="1"/>
      <c r="E832" s="1"/>
      <c r="F832" s="1"/>
      <c r="G832" s="1"/>
      <c r="H832" s="13">
        <v>9</v>
      </c>
      <c r="I832" s="13" t="s">
        <v>1</v>
      </c>
      <c r="J832" s="13" t="s">
        <v>2</v>
      </c>
      <c r="L832" s="13">
        <f>AE800</f>
        <v>73162.600000000006</v>
      </c>
    </row>
    <row r="833" spans="1:32" x14ac:dyDescent="0.35">
      <c r="A833" s="4"/>
      <c r="D833" s="1"/>
      <c r="E833" s="1"/>
      <c r="F833" s="1"/>
      <c r="G833" s="1"/>
      <c r="H833" s="13">
        <v>10</v>
      </c>
      <c r="I833" s="13" t="s">
        <v>3</v>
      </c>
      <c r="J833" s="13" t="s">
        <v>0</v>
      </c>
      <c r="L833" s="13">
        <f>AF797</f>
        <v>356500.2</v>
      </c>
    </row>
    <row r="834" spans="1:32" x14ac:dyDescent="0.35">
      <c r="A834" s="4"/>
      <c r="D834" s="1"/>
      <c r="E834" s="1"/>
      <c r="F834" s="1"/>
      <c r="G834" s="1"/>
      <c r="H834" s="13">
        <v>10</v>
      </c>
      <c r="I834" s="13" t="s">
        <v>3</v>
      </c>
      <c r="J834" s="13" t="s">
        <v>2</v>
      </c>
      <c r="L834" s="13">
        <f t="shared" ref="L834:L836" si="18">AF798</f>
        <v>251770</v>
      </c>
    </row>
    <row r="835" spans="1:32" x14ac:dyDescent="0.35">
      <c r="A835" s="4"/>
      <c r="D835" s="1"/>
      <c r="E835" s="1"/>
      <c r="F835" s="1"/>
      <c r="G835" s="1"/>
      <c r="H835" s="13">
        <v>10</v>
      </c>
      <c r="I835" s="13" t="s">
        <v>1</v>
      </c>
      <c r="J835" s="13" t="s">
        <v>0</v>
      </c>
      <c r="L835" s="13">
        <f t="shared" si="18"/>
        <v>342366.4</v>
      </c>
    </row>
    <row r="836" spans="1:32" x14ac:dyDescent="0.35">
      <c r="A836" s="4"/>
      <c r="D836" s="1"/>
      <c r="E836" s="1"/>
      <c r="F836" s="1"/>
      <c r="G836" s="1"/>
      <c r="H836" s="13">
        <v>10</v>
      </c>
      <c r="I836" s="13" t="s">
        <v>1</v>
      </c>
      <c r="J836" s="13" t="s">
        <v>2</v>
      </c>
      <c r="L836" s="13">
        <f t="shared" si="18"/>
        <v>178674.5</v>
      </c>
    </row>
    <row r="837" spans="1:32" x14ac:dyDescent="0.35">
      <c r="A837" s="4" t="s">
        <v>14</v>
      </c>
      <c r="D837" s="7" t="s">
        <v>66</v>
      </c>
      <c r="E837" s="1" t="s">
        <v>5</v>
      </c>
      <c r="F837" s="1" t="s">
        <v>67</v>
      </c>
      <c r="G837" s="1">
        <v>40</v>
      </c>
      <c r="H837" s="13">
        <v>1</v>
      </c>
      <c r="I837" s="13" t="s">
        <v>3</v>
      </c>
      <c r="J837" s="13" t="s">
        <v>0</v>
      </c>
      <c r="L837" s="13" t="str">
        <f>W837</f>
        <v> .0217737</v>
      </c>
      <c r="P837" t="str">
        <f>[2]Sheet4!B332</f>
        <v> .0217737</v>
      </c>
      <c r="Q837" t="str">
        <f>[2]Sheet4!C332</f>
        <v>  .0235248</v>
      </c>
      <c r="R837" t="str">
        <f>[2]Sheet4!D332</f>
        <v>    .0233846</v>
      </c>
      <c r="S837" t="str">
        <f>[2]Sheet4!E332</f>
        <v>   .031345</v>
      </c>
      <c r="W837" t="s">
        <v>105</v>
      </c>
      <c r="X837" t="s">
        <v>106</v>
      </c>
      <c r="Y837" t="s">
        <v>107</v>
      </c>
      <c r="Z837" t="s">
        <v>108</v>
      </c>
      <c r="AA837" t="s">
        <v>109</v>
      </c>
      <c r="AB837" t="s">
        <v>110</v>
      </c>
      <c r="AC837" t="s">
        <v>111</v>
      </c>
      <c r="AD837" t="s">
        <v>112</v>
      </c>
      <c r="AE837" t="s">
        <v>113</v>
      </c>
      <c r="AF837" t="s">
        <v>114</v>
      </c>
    </row>
    <row r="838" spans="1:32" x14ac:dyDescent="0.35">
      <c r="A838" s="4"/>
      <c r="D838" s="1"/>
      <c r="E838" s="1"/>
      <c r="F838" s="1"/>
      <c r="G838" s="1"/>
      <c r="H838" s="13">
        <v>1</v>
      </c>
      <c r="I838" s="13" t="s">
        <v>3</v>
      </c>
      <c r="J838" s="13" t="s">
        <v>2</v>
      </c>
      <c r="L838" s="13" t="str">
        <f>W838</f>
        <v>  .0235248</v>
      </c>
      <c r="P838" t="str">
        <f>[2]Sheet4!B333</f>
        <v>  .018788</v>
      </c>
      <c r="Q838" t="str">
        <f>[2]Sheet4!C333</f>
        <v>   .021606</v>
      </c>
      <c r="R838" t="str">
        <f>[2]Sheet4!D333</f>
        <v>    .0263769</v>
      </c>
      <c r="S838" t="str">
        <f>[2]Sheet4!E333</f>
        <v>  .0332564</v>
      </c>
      <c r="W838" t="s">
        <v>115</v>
      </c>
      <c r="X838" t="s">
        <v>116</v>
      </c>
      <c r="Y838" t="s">
        <v>117</v>
      </c>
      <c r="Z838" t="s">
        <v>118</v>
      </c>
      <c r="AA838" t="s">
        <v>119</v>
      </c>
      <c r="AB838" t="s">
        <v>120</v>
      </c>
      <c r="AC838" t="s">
        <v>121</v>
      </c>
      <c r="AD838" t="s">
        <v>122</v>
      </c>
      <c r="AE838" t="s">
        <v>123</v>
      </c>
      <c r="AF838" t="s">
        <v>124</v>
      </c>
    </row>
    <row r="839" spans="1:32" x14ac:dyDescent="0.35">
      <c r="A839" s="4"/>
      <c r="D839" s="1"/>
      <c r="E839" s="1"/>
      <c r="F839" s="1"/>
      <c r="G839" s="1"/>
      <c r="H839" s="13">
        <v>1</v>
      </c>
      <c r="I839" s="13" t="s">
        <v>1</v>
      </c>
      <c r="J839" s="13" t="s">
        <v>0</v>
      </c>
      <c r="L839" s="13" t="str">
        <f>W839</f>
        <v>    .0233846</v>
      </c>
      <c r="P839" t="str">
        <f>[2]Sheet4!B334</f>
        <v> .0215466</v>
      </c>
      <c r="Q839" t="str">
        <f>[2]Sheet4!C334</f>
        <v>  .0248282</v>
      </c>
      <c r="R839" t="str">
        <f>[2]Sheet4!D334</f>
        <v>    .0240983</v>
      </c>
      <c r="S839" t="str">
        <f>[2]Sheet4!E334</f>
        <v>   .029513</v>
      </c>
      <c r="W839" t="s">
        <v>125</v>
      </c>
      <c r="X839" t="s">
        <v>126</v>
      </c>
      <c r="Y839" t="s">
        <v>127</v>
      </c>
      <c r="Z839" t="s">
        <v>128</v>
      </c>
      <c r="AA839" t="s">
        <v>129</v>
      </c>
      <c r="AB839" t="s">
        <v>130</v>
      </c>
      <c r="AC839" t="s">
        <v>131</v>
      </c>
      <c r="AD839" t="s">
        <v>132</v>
      </c>
      <c r="AE839" t="s">
        <v>133</v>
      </c>
      <c r="AF839" t="s">
        <v>134</v>
      </c>
    </row>
    <row r="840" spans="1:32" x14ac:dyDescent="0.35">
      <c r="A840" s="4"/>
      <c r="D840" s="1"/>
      <c r="E840" s="1"/>
      <c r="F840" s="1"/>
      <c r="G840" s="1"/>
      <c r="H840" s="13">
        <v>1</v>
      </c>
      <c r="I840" s="13" t="s">
        <v>1</v>
      </c>
      <c r="J840" s="13" t="s">
        <v>2</v>
      </c>
      <c r="L840" s="13" t="str">
        <f>W840</f>
        <v>   .031345</v>
      </c>
      <c r="P840" t="str">
        <f>[2]Sheet4!B335</f>
        <v> .0260486</v>
      </c>
      <c r="Q840" t="str">
        <f>[2]Sheet4!C335</f>
        <v>   .028545</v>
      </c>
      <c r="R840" t="str">
        <f>[2]Sheet4!D335</f>
        <v>    .0220557</v>
      </c>
      <c r="S840" t="str">
        <f>[2]Sheet4!E335</f>
        <v>   .024236</v>
      </c>
      <c r="W840" t="s">
        <v>135</v>
      </c>
      <c r="X840" t="s">
        <v>136</v>
      </c>
      <c r="Y840" t="s">
        <v>137</v>
      </c>
      <c r="Z840" t="s">
        <v>138</v>
      </c>
      <c r="AA840" t="s">
        <v>139</v>
      </c>
      <c r="AB840" t="s">
        <v>140</v>
      </c>
      <c r="AC840" t="s">
        <v>141</v>
      </c>
      <c r="AD840" t="s">
        <v>142</v>
      </c>
      <c r="AE840" t="s">
        <v>143</v>
      </c>
      <c r="AF840" t="s">
        <v>144</v>
      </c>
    </row>
    <row r="841" spans="1:32" x14ac:dyDescent="0.35">
      <c r="A841" s="4"/>
      <c r="D841" s="1"/>
      <c r="E841" s="1"/>
      <c r="F841" s="1"/>
      <c r="G841" s="1"/>
      <c r="H841" s="13">
        <v>2</v>
      </c>
      <c r="I841" s="13" t="s">
        <v>3</v>
      </c>
      <c r="J841" s="13" t="s">
        <v>0</v>
      </c>
      <c r="L841" s="13" t="str">
        <f>X837</f>
        <v>  .018788</v>
      </c>
      <c r="P841" t="str">
        <f>[2]Sheet4!B336</f>
        <v> .0279373</v>
      </c>
      <c r="Q841" t="str">
        <f>[2]Sheet4!C336</f>
        <v>  .0283515</v>
      </c>
      <c r="R841" t="str">
        <f>[2]Sheet4!D336</f>
        <v>    .0199467</v>
      </c>
      <c r="S841" t="str">
        <f>[2]Sheet4!E336</f>
        <v>  .0228767</v>
      </c>
    </row>
    <row r="842" spans="1:32" x14ac:dyDescent="0.35">
      <c r="A842" s="4"/>
      <c r="D842" s="1"/>
      <c r="E842" s="1"/>
      <c r="F842" s="1"/>
      <c r="G842" s="1"/>
      <c r="H842" s="13">
        <v>2</v>
      </c>
      <c r="I842" s="13" t="s">
        <v>3</v>
      </c>
      <c r="J842" s="13" t="s">
        <v>2</v>
      </c>
      <c r="L842" s="13" t="str">
        <f>X838</f>
        <v>   .021606</v>
      </c>
      <c r="P842" t="str">
        <f>[2]Sheet4!B337</f>
        <v> .0323376</v>
      </c>
      <c r="Q842" t="str">
        <f>[2]Sheet4!C337</f>
        <v>  .0371861</v>
      </c>
      <c r="R842" t="str">
        <f>[2]Sheet4!D337</f>
        <v>    .0155127</v>
      </c>
      <c r="S842" t="str">
        <f>[2]Sheet4!E337</f>
        <v>  .0149966</v>
      </c>
    </row>
    <row r="843" spans="1:32" x14ac:dyDescent="0.35">
      <c r="A843" s="4"/>
      <c r="D843" s="1"/>
      <c r="E843" s="1"/>
      <c r="F843" s="1"/>
      <c r="G843" s="1"/>
      <c r="H843" s="13">
        <v>2</v>
      </c>
      <c r="I843" s="13" t="s">
        <v>1</v>
      </c>
      <c r="J843" s="13" t="s">
        <v>0</v>
      </c>
      <c r="L843" s="13" t="str">
        <f>X839</f>
        <v>    .0263769</v>
      </c>
      <c r="P843" t="str">
        <f>[2]Sheet4!B338</f>
        <v> .0378101</v>
      </c>
      <c r="Q843" t="str">
        <f>[2]Sheet4!C338</f>
        <v>  .0396721</v>
      </c>
      <c r="R843" t="str">
        <f>[2]Sheet4!D338</f>
        <v>    .0117835</v>
      </c>
      <c r="S843" t="str">
        <f>[2]Sheet4!E338</f>
        <v>  .0106917</v>
      </c>
    </row>
    <row r="844" spans="1:32" x14ac:dyDescent="0.35">
      <c r="A844" s="4"/>
      <c r="D844" s="1"/>
      <c r="E844" s="1"/>
      <c r="F844" s="1"/>
      <c r="G844" s="1"/>
      <c r="H844" s="13">
        <v>2</v>
      </c>
      <c r="I844" s="13" t="s">
        <v>1</v>
      </c>
      <c r="J844" s="13" t="s">
        <v>2</v>
      </c>
      <c r="L844" s="13" t="str">
        <f>X840</f>
        <v>  .0332564</v>
      </c>
      <c r="P844" t="str">
        <f>[2]Sheet4!B339</f>
        <v> .0412124</v>
      </c>
      <c r="Q844" t="str">
        <f>[2]Sheet4!C339</f>
        <v>  .0341641</v>
      </c>
      <c r="R844" t="str">
        <f>[2]Sheet4!D339</f>
        <v>    .0132191</v>
      </c>
      <c r="S844" t="str">
        <f>[2]Sheet4!E339</f>
        <v>  .0113963</v>
      </c>
    </row>
    <row r="845" spans="1:32" x14ac:dyDescent="0.35">
      <c r="A845" s="4"/>
      <c r="D845" s="1"/>
      <c r="E845" s="1"/>
      <c r="F845" s="1" t="s">
        <v>69</v>
      </c>
      <c r="G845" s="1"/>
      <c r="H845" s="13">
        <v>3</v>
      </c>
      <c r="I845" s="13" t="s">
        <v>3</v>
      </c>
      <c r="J845" s="13" t="s">
        <v>0</v>
      </c>
      <c r="L845" s="13" t="str">
        <f>Y837</f>
        <v> .0215466</v>
      </c>
      <c r="P845" t="str">
        <f>[2]Sheet4!B340</f>
        <v> .0443093</v>
      </c>
      <c r="Q845" t="str">
        <f>[2]Sheet4!C340</f>
        <v>  .0423534</v>
      </c>
      <c r="R845" t="str">
        <f>[2]Sheet4!D340</f>
        <v>    .0075446</v>
      </c>
      <c r="S845" t="str">
        <f>[2]Sheet4!E340</f>
        <v>  .0061375</v>
      </c>
    </row>
    <row r="846" spans="1:32" x14ac:dyDescent="0.35">
      <c r="A846" s="4"/>
      <c r="D846" s="1"/>
      <c r="E846" s="1"/>
      <c r="F846" s="1"/>
      <c r="G846" s="1"/>
      <c r="H846" s="13">
        <v>3</v>
      </c>
      <c r="I846" s="13" t="s">
        <v>3</v>
      </c>
      <c r="J846" s="13" t="s">
        <v>2</v>
      </c>
      <c r="L846" s="13" t="str">
        <f>Y838</f>
        <v>  .0248282</v>
      </c>
      <c r="P846" t="str">
        <f>[2]Sheet4!B341</f>
        <v> .0487734</v>
      </c>
      <c r="Q846" t="str">
        <f>[2]Sheet4!C341</f>
        <v>  .0402807</v>
      </c>
      <c r="R846" t="str">
        <f>[2]Sheet4!D341</f>
        <v>    .0061474</v>
      </c>
      <c r="S846" t="str">
        <f>[2]Sheet4!E341</f>
        <v>  .0044322</v>
      </c>
    </row>
    <row r="847" spans="1:32" x14ac:dyDescent="0.35">
      <c r="A847" s="4"/>
      <c r="D847" s="1"/>
      <c r="E847" s="1"/>
      <c r="F847" s="1"/>
      <c r="G847" s="1"/>
      <c r="H847" s="13">
        <v>3</v>
      </c>
      <c r="I847" s="13" t="s">
        <v>1</v>
      </c>
      <c r="J847" s="13" t="s">
        <v>0</v>
      </c>
      <c r="L847" s="13" t="str">
        <f>Y839</f>
        <v>    .0240983</v>
      </c>
    </row>
    <row r="848" spans="1:32" x14ac:dyDescent="0.35">
      <c r="A848" s="4"/>
      <c r="D848" s="1"/>
      <c r="E848" s="1"/>
      <c r="F848" s="1"/>
      <c r="G848" s="1"/>
      <c r="H848" s="13">
        <v>3</v>
      </c>
      <c r="I848" s="13" t="s">
        <v>1</v>
      </c>
      <c r="J848" s="13" t="s">
        <v>2</v>
      </c>
      <c r="L848" s="13" t="str">
        <f>Y840</f>
        <v>   .029513</v>
      </c>
    </row>
    <row r="849" spans="1:12" x14ac:dyDescent="0.35">
      <c r="A849" s="4"/>
      <c r="D849" s="1"/>
      <c r="E849" s="1"/>
      <c r="F849" s="1" t="s">
        <v>68</v>
      </c>
      <c r="G849" s="1"/>
      <c r="H849" s="13">
        <v>4</v>
      </c>
      <c r="I849" s="13" t="s">
        <v>3</v>
      </c>
      <c r="J849" s="13" t="s">
        <v>0</v>
      </c>
      <c r="L849" s="13" t="str">
        <f>Z837</f>
        <v> .0260486</v>
      </c>
    </row>
    <row r="850" spans="1:12" x14ac:dyDescent="0.35">
      <c r="A850" s="4"/>
      <c r="D850" s="1"/>
      <c r="E850" s="1"/>
      <c r="F850" s="1"/>
      <c r="G850" s="1"/>
      <c r="H850" s="13">
        <v>4</v>
      </c>
      <c r="I850" s="13" t="s">
        <v>3</v>
      </c>
      <c r="J850" s="13" t="s">
        <v>2</v>
      </c>
      <c r="L850" s="13" t="str">
        <f>Z838</f>
        <v>   .028545</v>
      </c>
    </row>
    <row r="851" spans="1:12" x14ac:dyDescent="0.35">
      <c r="A851" s="4"/>
      <c r="D851" s="1"/>
      <c r="E851" s="1"/>
      <c r="F851" s="1"/>
      <c r="G851" s="1"/>
      <c r="H851" s="13">
        <v>4</v>
      </c>
      <c r="I851" s="13" t="s">
        <v>1</v>
      </c>
      <c r="J851" s="13" t="s">
        <v>0</v>
      </c>
      <c r="L851" s="13" t="str">
        <f>Z839</f>
        <v>    .0220557</v>
      </c>
    </row>
    <row r="852" spans="1:12" x14ac:dyDescent="0.35">
      <c r="A852" s="4"/>
      <c r="D852" s="1"/>
      <c r="E852" s="1"/>
      <c r="F852" s="1"/>
      <c r="G852" s="1"/>
      <c r="H852" s="13">
        <v>4</v>
      </c>
      <c r="I852" s="13" t="s">
        <v>1</v>
      </c>
      <c r="J852" s="13" t="s">
        <v>2</v>
      </c>
      <c r="L852" s="13" t="str">
        <f>Z840</f>
        <v>   .024236</v>
      </c>
    </row>
    <row r="853" spans="1:12" x14ac:dyDescent="0.35">
      <c r="A853" s="4"/>
      <c r="D853" s="1"/>
      <c r="E853" s="1"/>
      <c r="F853" s="1"/>
      <c r="G853" s="1"/>
      <c r="H853" s="13">
        <v>5</v>
      </c>
      <c r="I853" s="13" t="s">
        <v>3</v>
      </c>
      <c r="J853" s="13" t="s">
        <v>0</v>
      </c>
      <c r="L853" s="13" t="str">
        <f>AA837</f>
        <v> .0279373</v>
      </c>
    </row>
    <row r="854" spans="1:12" x14ac:dyDescent="0.35">
      <c r="A854" s="4"/>
      <c r="D854" s="1"/>
      <c r="E854" s="1"/>
      <c r="F854" s="1" t="s">
        <v>70</v>
      </c>
      <c r="G854" s="1"/>
      <c r="H854" s="13">
        <v>5</v>
      </c>
      <c r="I854" s="13" t="s">
        <v>3</v>
      </c>
      <c r="J854" s="13" t="s">
        <v>2</v>
      </c>
      <c r="L854" s="13" t="str">
        <f>AA838</f>
        <v>  .0283515</v>
      </c>
    </row>
    <row r="855" spans="1:12" x14ac:dyDescent="0.35">
      <c r="A855" s="4"/>
      <c r="D855" s="1"/>
      <c r="E855" s="1"/>
      <c r="F855" s="1"/>
      <c r="G855" s="1"/>
      <c r="H855" s="13">
        <v>5</v>
      </c>
      <c r="I855" s="13" t="s">
        <v>1</v>
      </c>
      <c r="J855" s="13" t="s">
        <v>0</v>
      </c>
      <c r="L855" s="13" t="str">
        <f>AA839</f>
        <v>    .0199467</v>
      </c>
    </row>
    <row r="856" spans="1:12" x14ac:dyDescent="0.35">
      <c r="A856" s="4"/>
      <c r="D856" s="1"/>
      <c r="E856" s="1"/>
      <c r="F856" s="1"/>
      <c r="G856" s="1"/>
      <c r="H856" s="13">
        <v>5</v>
      </c>
      <c r="I856" s="13" t="s">
        <v>1</v>
      </c>
      <c r="J856" s="13" t="s">
        <v>2</v>
      </c>
      <c r="L856" s="13" t="str">
        <f>AA840</f>
        <v>  .0228767</v>
      </c>
    </row>
    <row r="857" spans="1:12" x14ac:dyDescent="0.35">
      <c r="A857" s="4"/>
      <c r="D857" s="1"/>
      <c r="E857" s="1"/>
      <c r="F857" s="1"/>
      <c r="G857" s="1"/>
      <c r="H857" s="13">
        <v>6</v>
      </c>
      <c r="I857" s="13" t="s">
        <v>3</v>
      </c>
      <c r="J857" s="13" t="s">
        <v>0</v>
      </c>
      <c r="L857" s="13" t="str">
        <f>AB837</f>
        <v> .0323376</v>
      </c>
    </row>
    <row r="858" spans="1:12" x14ac:dyDescent="0.35">
      <c r="A858" s="4"/>
      <c r="D858" s="1"/>
      <c r="E858" s="1"/>
      <c r="F858" s="1"/>
      <c r="G858" s="1"/>
      <c r="H858" s="13">
        <v>6</v>
      </c>
      <c r="I858" s="13" t="s">
        <v>3</v>
      </c>
      <c r="J858" s="13" t="s">
        <v>2</v>
      </c>
      <c r="L858" s="13" t="str">
        <f>AB838</f>
        <v>  .0371861</v>
      </c>
    </row>
    <row r="859" spans="1:12" x14ac:dyDescent="0.35">
      <c r="A859" s="4"/>
      <c r="D859" s="1"/>
      <c r="E859" s="1"/>
      <c r="F859" s="1"/>
      <c r="G859" s="1"/>
      <c r="H859" s="13">
        <v>6</v>
      </c>
      <c r="I859" s="13" t="s">
        <v>1</v>
      </c>
      <c r="J859" s="13" t="s">
        <v>0</v>
      </c>
      <c r="L859" s="13" t="str">
        <f>AB839</f>
        <v>    .0155127</v>
      </c>
    </row>
    <row r="860" spans="1:12" x14ac:dyDescent="0.35">
      <c r="A860" s="4"/>
      <c r="D860" s="1"/>
      <c r="E860" s="1"/>
      <c r="F860" s="1"/>
      <c r="G860" s="1"/>
      <c r="H860" s="13">
        <v>6</v>
      </c>
      <c r="I860" s="13" t="s">
        <v>1</v>
      </c>
      <c r="J860" s="13" t="s">
        <v>2</v>
      </c>
      <c r="L860" s="13" t="str">
        <f>AB840</f>
        <v>  .0149966</v>
      </c>
    </row>
    <row r="861" spans="1:12" x14ac:dyDescent="0.35">
      <c r="A861" s="4"/>
      <c r="D861" s="1"/>
      <c r="E861" s="1"/>
      <c r="F861" s="1"/>
      <c r="G861" s="1"/>
      <c r="H861" s="13">
        <v>7</v>
      </c>
      <c r="I861" s="13" t="s">
        <v>3</v>
      </c>
      <c r="J861" s="13" t="s">
        <v>0</v>
      </c>
      <c r="L861" s="13" t="str">
        <f>AC837</f>
        <v> .0378101</v>
      </c>
    </row>
    <row r="862" spans="1:12" x14ac:dyDescent="0.35">
      <c r="A862" s="4"/>
      <c r="D862" s="1"/>
      <c r="E862" s="1"/>
      <c r="F862" s="1"/>
      <c r="G862" s="1"/>
      <c r="H862" s="13">
        <v>7</v>
      </c>
      <c r="I862" s="13" t="s">
        <v>3</v>
      </c>
      <c r="J862" s="13" t="s">
        <v>2</v>
      </c>
      <c r="L862" s="13" t="str">
        <f>AC838</f>
        <v>  .0396721</v>
      </c>
    </row>
    <row r="863" spans="1:12" x14ac:dyDescent="0.35">
      <c r="A863" s="4"/>
      <c r="D863" s="1"/>
      <c r="E863" s="1"/>
      <c r="F863" s="1"/>
      <c r="G863" s="1"/>
      <c r="H863" s="13">
        <v>7</v>
      </c>
      <c r="I863" s="13" t="s">
        <v>1</v>
      </c>
      <c r="J863" s="13" t="s">
        <v>0</v>
      </c>
      <c r="L863" s="13" t="str">
        <f>AC839</f>
        <v>    .0117835</v>
      </c>
    </row>
    <row r="864" spans="1:12" x14ac:dyDescent="0.35">
      <c r="A864" s="4"/>
      <c r="D864" s="1"/>
      <c r="E864" s="1"/>
      <c r="F864" s="1"/>
      <c r="G864" s="1"/>
      <c r="H864" s="13">
        <v>7</v>
      </c>
      <c r="I864" s="13" t="s">
        <v>1</v>
      </c>
      <c r="J864" s="13" t="s">
        <v>2</v>
      </c>
      <c r="L864" s="13" t="str">
        <f>AC840</f>
        <v>  .0106917</v>
      </c>
    </row>
    <row r="865" spans="1:32" x14ac:dyDescent="0.35">
      <c r="A865" s="4"/>
      <c r="D865" s="1"/>
      <c r="E865" s="1"/>
      <c r="F865" s="1"/>
      <c r="G865" s="1"/>
      <c r="H865" s="13">
        <v>8</v>
      </c>
      <c r="I865" s="13" t="s">
        <v>3</v>
      </c>
      <c r="J865" s="13" t="s">
        <v>0</v>
      </c>
      <c r="L865" s="13" t="str">
        <f>AD837</f>
        <v> .0412124</v>
      </c>
    </row>
    <row r="866" spans="1:32" x14ac:dyDescent="0.35">
      <c r="A866" s="4"/>
      <c r="D866" s="1"/>
      <c r="E866" s="1"/>
      <c r="F866" s="1"/>
      <c r="G866" s="1"/>
      <c r="H866" s="13">
        <v>8</v>
      </c>
      <c r="I866" s="13" t="s">
        <v>3</v>
      </c>
      <c r="J866" s="13" t="s">
        <v>2</v>
      </c>
      <c r="L866" s="13" t="str">
        <f>AD838</f>
        <v>  .0341641</v>
      </c>
    </row>
    <row r="867" spans="1:32" x14ac:dyDescent="0.35">
      <c r="A867" s="4"/>
      <c r="D867" s="1"/>
      <c r="E867" s="1"/>
      <c r="F867" s="1"/>
      <c r="G867" s="1"/>
      <c r="H867" s="13">
        <v>8</v>
      </c>
      <c r="I867" s="13" t="s">
        <v>1</v>
      </c>
      <c r="J867" s="13" t="s">
        <v>0</v>
      </c>
      <c r="L867" s="13" t="str">
        <f>AD839</f>
        <v>    .0132191</v>
      </c>
    </row>
    <row r="868" spans="1:32" x14ac:dyDescent="0.35">
      <c r="A868" s="4"/>
      <c r="D868" s="1"/>
      <c r="E868" s="1"/>
      <c r="F868" s="1"/>
      <c r="G868" s="1"/>
      <c r="H868" s="13">
        <v>8</v>
      </c>
      <c r="I868" s="13" t="s">
        <v>1</v>
      </c>
      <c r="J868" s="13" t="s">
        <v>2</v>
      </c>
      <c r="L868" s="13" t="str">
        <f>AD840</f>
        <v>  .0113963</v>
      </c>
    </row>
    <row r="869" spans="1:32" x14ac:dyDescent="0.35">
      <c r="A869" s="4"/>
      <c r="D869" s="1"/>
      <c r="E869" s="1"/>
      <c r="F869" s="1"/>
      <c r="G869" s="1"/>
      <c r="H869" s="13">
        <v>9</v>
      </c>
      <c r="I869" s="13" t="s">
        <v>3</v>
      </c>
      <c r="J869" s="13" t="s">
        <v>0</v>
      </c>
      <c r="L869" s="13" t="str">
        <f>AE837</f>
        <v> .0443093</v>
      </c>
    </row>
    <row r="870" spans="1:32" x14ac:dyDescent="0.35">
      <c r="A870" s="4"/>
      <c r="D870" s="1"/>
      <c r="E870" s="1"/>
      <c r="F870" s="1"/>
      <c r="G870" s="1"/>
      <c r="H870" s="13">
        <v>9</v>
      </c>
      <c r="I870" s="13" t="s">
        <v>3</v>
      </c>
      <c r="J870" s="13" t="s">
        <v>2</v>
      </c>
      <c r="L870" s="13" t="str">
        <f>AE838</f>
        <v>  .0423534</v>
      </c>
    </row>
    <row r="871" spans="1:32" x14ac:dyDescent="0.35">
      <c r="A871" s="4"/>
      <c r="D871" s="1"/>
      <c r="E871" s="1"/>
      <c r="F871" s="1"/>
      <c r="G871" s="1"/>
      <c r="H871" s="13">
        <v>9</v>
      </c>
      <c r="I871" s="13" t="s">
        <v>1</v>
      </c>
      <c r="J871" s="13" t="s">
        <v>0</v>
      </c>
      <c r="L871" s="13" t="str">
        <f>AE839</f>
        <v>    .0075446</v>
      </c>
    </row>
    <row r="872" spans="1:32" x14ac:dyDescent="0.35">
      <c r="A872" s="4"/>
      <c r="D872" s="1"/>
      <c r="E872" s="1"/>
      <c r="F872" s="1"/>
      <c r="G872" s="1"/>
      <c r="H872" s="13">
        <v>9</v>
      </c>
      <c r="I872" s="13" t="s">
        <v>1</v>
      </c>
      <c r="J872" s="13" t="s">
        <v>2</v>
      </c>
      <c r="L872" s="13" t="str">
        <f>AE840</f>
        <v>  .0061375</v>
      </c>
    </row>
    <row r="873" spans="1:32" x14ac:dyDescent="0.35">
      <c r="A873" s="4"/>
      <c r="D873" s="1"/>
      <c r="E873" s="1"/>
      <c r="F873" s="1"/>
      <c r="G873" s="1"/>
      <c r="H873" s="13">
        <v>10</v>
      </c>
      <c r="I873" s="13" t="s">
        <v>3</v>
      </c>
      <c r="J873" s="13" t="s">
        <v>0</v>
      </c>
      <c r="L873" s="13" t="str">
        <f>AF837</f>
        <v> .0487734</v>
      </c>
    </row>
    <row r="874" spans="1:32" x14ac:dyDescent="0.35">
      <c r="A874" s="4"/>
      <c r="D874" s="1"/>
      <c r="E874" s="1"/>
      <c r="F874" s="1"/>
      <c r="G874" s="1"/>
      <c r="H874" s="13">
        <v>10</v>
      </c>
      <c r="I874" s="13" t="s">
        <v>3</v>
      </c>
      <c r="J874" s="13" t="s">
        <v>2</v>
      </c>
      <c r="L874" s="13" t="str">
        <f t="shared" ref="L874:L876" si="19">AF838</f>
        <v>  .0402807</v>
      </c>
    </row>
    <row r="875" spans="1:32" x14ac:dyDescent="0.35">
      <c r="A875" s="4"/>
      <c r="D875" s="1"/>
      <c r="E875" s="1"/>
      <c r="F875" s="1"/>
      <c r="G875" s="1"/>
      <c r="H875" s="13">
        <v>10</v>
      </c>
      <c r="I875" s="13" t="s">
        <v>1</v>
      </c>
      <c r="J875" s="13" t="s">
        <v>0</v>
      </c>
      <c r="L875" s="13" t="str">
        <f t="shared" si="19"/>
        <v>    .0061474</v>
      </c>
    </row>
    <row r="876" spans="1:32" x14ac:dyDescent="0.35">
      <c r="A876" s="4"/>
      <c r="D876" s="1"/>
      <c r="E876" s="1"/>
      <c r="F876" s="1"/>
      <c r="G876" s="1"/>
      <c r="H876" s="13">
        <v>10</v>
      </c>
      <c r="I876" s="13" t="s">
        <v>1</v>
      </c>
      <c r="J876" s="13" t="s">
        <v>2</v>
      </c>
      <c r="L876" s="13" t="str">
        <f t="shared" si="19"/>
        <v>  .0044322</v>
      </c>
    </row>
    <row r="877" spans="1:32" x14ac:dyDescent="0.35">
      <c r="A877" s="4" t="s">
        <v>14</v>
      </c>
      <c r="D877" s="1" t="s">
        <v>20</v>
      </c>
      <c r="E877" s="1" t="s">
        <v>5</v>
      </c>
      <c r="F877" s="1" t="s">
        <v>19</v>
      </c>
      <c r="G877" s="1">
        <v>40</v>
      </c>
      <c r="H877" s="13">
        <v>1</v>
      </c>
      <c r="I877" s="13" t="s">
        <v>3</v>
      </c>
      <c r="J877" s="13" t="s">
        <v>0</v>
      </c>
      <c r="L877" s="13">
        <f>W877</f>
        <v>735</v>
      </c>
      <c r="P877" t="str">
        <f>[1]Sheet4!B332</f>
        <v> .0217737</v>
      </c>
      <c r="Q877" t="str">
        <f>[1]Sheet4!C332</f>
        <v>  .0235248</v>
      </c>
      <c r="R877" t="str">
        <f>[1]Sheet4!D332</f>
        <v>    .0233846</v>
      </c>
      <c r="S877" t="str">
        <f>[1]Sheet4!E332</f>
        <v>   .031345</v>
      </c>
      <c r="W877">
        <v>735</v>
      </c>
      <c r="X877">
        <v>710</v>
      </c>
      <c r="Y877">
        <v>840</v>
      </c>
      <c r="Z877">
        <v>861</v>
      </c>
      <c r="AA877" s="11">
        <v>1096</v>
      </c>
      <c r="AB877" s="11">
        <v>1034</v>
      </c>
      <c r="AC877" s="11">
        <v>1177</v>
      </c>
      <c r="AD877" s="11">
        <v>1097</v>
      </c>
      <c r="AE877" s="11">
        <v>1121</v>
      </c>
      <c r="AF877" s="11">
        <v>1093</v>
      </c>
    </row>
    <row r="878" spans="1:32" x14ac:dyDescent="0.35">
      <c r="A878" s="4"/>
      <c r="D878" s="1"/>
      <c r="E878" s="1"/>
      <c r="F878" s="1"/>
      <c r="G878" s="1"/>
      <c r="H878" s="13">
        <v>1</v>
      </c>
      <c r="I878" s="13" t="s">
        <v>3</v>
      </c>
      <c r="J878" s="13" t="s">
        <v>2</v>
      </c>
      <c r="L878" s="13">
        <f>W878</f>
        <v>981</v>
      </c>
      <c r="P878" t="str">
        <f>[1]Sheet4!B333</f>
        <v>  .018788</v>
      </c>
      <c r="Q878" t="str">
        <f>[1]Sheet4!C333</f>
        <v>   .021606</v>
      </c>
      <c r="R878" t="str">
        <f>[1]Sheet4!D333</f>
        <v>    .0263769</v>
      </c>
      <c r="S878" t="str">
        <f>[1]Sheet4!E333</f>
        <v>  .0332564</v>
      </c>
      <c r="W878">
        <v>981</v>
      </c>
      <c r="X878">
        <v>886</v>
      </c>
      <c r="Y878" s="11">
        <v>1111</v>
      </c>
      <c r="Z878" s="11">
        <v>1038</v>
      </c>
      <c r="AA878" s="11">
        <v>1211</v>
      </c>
      <c r="AB878" s="11">
        <v>1289</v>
      </c>
      <c r="AC878" s="11">
        <v>1362</v>
      </c>
      <c r="AD878" s="11">
        <v>1091</v>
      </c>
      <c r="AE878" s="11">
        <v>1155</v>
      </c>
      <c r="AF878" s="11">
        <v>1049</v>
      </c>
    </row>
    <row r="879" spans="1:32" x14ac:dyDescent="0.35">
      <c r="A879" s="4"/>
      <c r="D879" s="1"/>
      <c r="E879" s="1"/>
      <c r="F879" s="1"/>
      <c r="G879" s="1"/>
      <c r="H879" s="13">
        <v>1</v>
      </c>
      <c r="I879" s="13" t="s">
        <v>1</v>
      </c>
      <c r="J879" s="13" t="s">
        <v>0</v>
      </c>
      <c r="L879" s="13">
        <f>W879</f>
        <v>1248</v>
      </c>
      <c r="P879" t="str">
        <f>[1]Sheet4!B334</f>
        <v> .0215466</v>
      </c>
      <c r="Q879" t="str">
        <f>[1]Sheet4!C334</f>
        <v>  .0248282</v>
      </c>
      <c r="R879" t="str">
        <f>[1]Sheet4!D334</f>
        <v>    .0240983</v>
      </c>
      <c r="S879" t="str">
        <f>[1]Sheet4!E334</f>
        <v>   .029513</v>
      </c>
      <c r="W879" s="11">
        <v>1248</v>
      </c>
      <c r="X879" s="11">
        <v>1555</v>
      </c>
      <c r="Y879" s="11">
        <v>1373</v>
      </c>
      <c r="Z879" s="11">
        <v>1086</v>
      </c>
      <c r="AA879" s="11">
        <v>1008</v>
      </c>
      <c r="AB879">
        <v>753</v>
      </c>
      <c r="AC879">
        <v>518</v>
      </c>
      <c r="AD879">
        <v>520</v>
      </c>
      <c r="AE879">
        <v>270</v>
      </c>
      <c r="AF879">
        <v>155</v>
      </c>
    </row>
    <row r="880" spans="1:32" x14ac:dyDescent="0.35">
      <c r="A880" s="4"/>
      <c r="D880" s="1"/>
      <c r="E880" s="1"/>
      <c r="F880" s="1"/>
      <c r="G880" s="1"/>
      <c r="H880" s="13">
        <v>1</v>
      </c>
      <c r="I880" s="13" t="s">
        <v>1</v>
      </c>
      <c r="J880" s="13" t="s">
        <v>2</v>
      </c>
      <c r="L880" s="13">
        <f>W880</f>
        <v>1719</v>
      </c>
      <c r="P880" t="str">
        <f>[1]Sheet4!B335</f>
        <v> .0260486</v>
      </c>
      <c r="Q880" t="str">
        <f>[1]Sheet4!C335</f>
        <v>   .028545</v>
      </c>
      <c r="R880" t="str">
        <f>[1]Sheet4!D335</f>
        <v>    .0220557</v>
      </c>
      <c r="S880" t="str">
        <f>[1]Sheet4!E335</f>
        <v>   .024236</v>
      </c>
      <c r="W880" s="11">
        <v>1719</v>
      </c>
      <c r="X880" s="11">
        <v>2195</v>
      </c>
      <c r="Y880" s="11">
        <v>1751</v>
      </c>
      <c r="Z880" s="11">
        <v>1423</v>
      </c>
      <c r="AA880" s="11">
        <v>1260</v>
      </c>
      <c r="AB880">
        <v>875</v>
      </c>
      <c r="AC880">
        <v>586</v>
      </c>
      <c r="AD880">
        <v>532</v>
      </c>
      <c r="AE880">
        <v>284</v>
      </c>
      <c r="AF880">
        <v>123</v>
      </c>
    </row>
    <row r="881" spans="1:19" x14ac:dyDescent="0.35">
      <c r="A881" s="4"/>
      <c r="D881" s="1"/>
      <c r="E881" s="1"/>
      <c r="F881" s="1"/>
      <c r="G881" s="1"/>
      <c r="H881" s="13">
        <v>2</v>
      </c>
      <c r="I881" s="13" t="s">
        <v>3</v>
      </c>
      <c r="J881" s="13" t="s">
        <v>0</v>
      </c>
      <c r="L881" s="13">
        <f>X877</f>
        <v>710</v>
      </c>
      <c r="P881" t="str">
        <f>[1]Sheet4!B336</f>
        <v> .0279373</v>
      </c>
      <c r="Q881" t="str">
        <f>[1]Sheet4!C336</f>
        <v>  .0283515</v>
      </c>
      <c r="R881" t="str">
        <f>[1]Sheet4!D336</f>
        <v>    .0199467</v>
      </c>
      <c r="S881" t="str">
        <f>[1]Sheet4!E336</f>
        <v>  .0228767</v>
      </c>
    </row>
    <row r="882" spans="1:19" x14ac:dyDescent="0.35">
      <c r="A882" s="4"/>
      <c r="D882" s="1"/>
      <c r="E882" s="1"/>
      <c r="F882" s="1"/>
      <c r="G882" s="1"/>
      <c r="H882" s="13">
        <v>2</v>
      </c>
      <c r="I882" s="13" t="s">
        <v>3</v>
      </c>
      <c r="J882" s="13" t="s">
        <v>2</v>
      </c>
      <c r="L882" s="13">
        <f>X878</f>
        <v>886</v>
      </c>
      <c r="P882" t="str">
        <f>[1]Sheet4!B337</f>
        <v> .0323376</v>
      </c>
      <c r="Q882" t="str">
        <f>[1]Sheet4!C337</f>
        <v>  .0371861</v>
      </c>
      <c r="R882" t="str">
        <f>[1]Sheet4!D337</f>
        <v>    .0155127</v>
      </c>
      <c r="S882" t="str">
        <f>[1]Sheet4!E337</f>
        <v>  .0149966</v>
      </c>
    </row>
    <row r="883" spans="1:19" x14ac:dyDescent="0.35">
      <c r="A883" s="4"/>
      <c r="D883" s="1"/>
      <c r="E883" s="1"/>
      <c r="F883" s="1"/>
      <c r="G883" s="1"/>
      <c r="H883" s="13">
        <v>2</v>
      </c>
      <c r="I883" s="13" t="s">
        <v>1</v>
      </c>
      <c r="J883" s="13" t="s">
        <v>0</v>
      </c>
      <c r="L883" s="13">
        <f>X879</f>
        <v>1555</v>
      </c>
      <c r="P883" t="str">
        <f>[1]Sheet4!B338</f>
        <v> .0378101</v>
      </c>
      <c r="Q883" t="str">
        <f>[1]Sheet4!C338</f>
        <v>  .0396721</v>
      </c>
      <c r="R883" t="str">
        <f>[1]Sheet4!D338</f>
        <v>    .0117835</v>
      </c>
      <c r="S883" t="str">
        <f>[1]Sheet4!E338</f>
        <v>  .0106917</v>
      </c>
    </row>
    <row r="884" spans="1:19" x14ac:dyDescent="0.35">
      <c r="A884" s="4"/>
      <c r="D884" s="1"/>
      <c r="E884" s="1"/>
      <c r="F884" s="1"/>
      <c r="G884" s="1"/>
      <c r="H884" s="13">
        <v>2</v>
      </c>
      <c r="I884" s="13" t="s">
        <v>1</v>
      </c>
      <c r="J884" s="13" t="s">
        <v>2</v>
      </c>
      <c r="L884" s="13">
        <f>X880</f>
        <v>2195</v>
      </c>
      <c r="P884" t="str">
        <f>[1]Sheet4!B339</f>
        <v> .0412124</v>
      </c>
      <c r="Q884" t="str">
        <f>[1]Sheet4!C339</f>
        <v>  .0341641</v>
      </c>
      <c r="R884" t="str">
        <f>[1]Sheet4!D339</f>
        <v>    .0132191</v>
      </c>
      <c r="S884" t="str">
        <f>[1]Sheet4!E339</f>
        <v>  .0113963</v>
      </c>
    </row>
    <row r="885" spans="1:19" x14ac:dyDescent="0.35">
      <c r="A885" s="4"/>
      <c r="D885" s="1"/>
      <c r="E885" s="1"/>
      <c r="F885" s="1"/>
      <c r="G885" s="1"/>
      <c r="H885" s="13">
        <v>3</v>
      </c>
      <c r="I885" s="13" t="s">
        <v>3</v>
      </c>
      <c r="J885" s="13" t="s">
        <v>0</v>
      </c>
      <c r="L885" s="13">
        <f>Y877</f>
        <v>840</v>
      </c>
      <c r="P885" t="str">
        <f>[1]Sheet4!B340</f>
        <v> .0443093</v>
      </c>
      <c r="Q885" t="str">
        <f>[1]Sheet4!C340</f>
        <v>  .0423534</v>
      </c>
      <c r="R885" t="str">
        <f>[1]Sheet4!D340</f>
        <v>    .0075446</v>
      </c>
      <c r="S885" t="str">
        <f>[1]Sheet4!E340</f>
        <v>  .0061375</v>
      </c>
    </row>
    <row r="886" spans="1:19" x14ac:dyDescent="0.35">
      <c r="A886" s="4"/>
      <c r="D886" s="1"/>
      <c r="E886" s="1"/>
      <c r="F886" s="1"/>
      <c r="G886" s="1"/>
      <c r="H886" s="13">
        <v>3</v>
      </c>
      <c r="I886" s="13" t="s">
        <v>3</v>
      </c>
      <c r="J886" s="13" t="s">
        <v>2</v>
      </c>
      <c r="L886" s="13">
        <f>Y878</f>
        <v>1111</v>
      </c>
      <c r="P886" t="str">
        <f>[1]Sheet4!B341</f>
        <v> .0487734</v>
      </c>
      <c r="Q886" t="str">
        <f>[1]Sheet4!C341</f>
        <v>  .0402807</v>
      </c>
      <c r="R886" t="str">
        <f>[1]Sheet4!D341</f>
        <v>    .0061474</v>
      </c>
      <c r="S886" t="str">
        <f>[1]Sheet4!E341</f>
        <v>  .0044322</v>
      </c>
    </row>
    <row r="887" spans="1:19" x14ac:dyDescent="0.35">
      <c r="A887" s="4"/>
      <c r="D887" s="1"/>
      <c r="E887" s="1"/>
      <c r="F887" s="1"/>
      <c r="G887" s="1"/>
      <c r="H887" s="13">
        <v>3</v>
      </c>
      <c r="I887" s="13" t="s">
        <v>1</v>
      </c>
      <c r="J887" s="13" t="s">
        <v>0</v>
      </c>
      <c r="L887" s="13">
        <f>Y879</f>
        <v>1373</v>
      </c>
    </row>
    <row r="888" spans="1:19" x14ac:dyDescent="0.35">
      <c r="A888" s="4"/>
      <c r="D888" s="1"/>
      <c r="E888" s="1"/>
      <c r="F888" s="1"/>
      <c r="G888" s="1"/>
      <c r="H888" s="13">
        <v>3</v>
      </c>
      <c r="I888" s="13" t="s">
        <v>1</v>
      </c>
      <c r="J888" s="13" t="s">
        <v>2</v>
      </c>
      <c r="L888" s="13">
        <f>Y880</f>
        <v>1751</v>
      </c>
    </row>
    <row r="889" spans="1:19" x14ac:dyDescent="0.35">
      <c r="A889" s="4"/>
      <c r="D889" s="1"/>
      <c r="E889" s="1"/>
      <c r="F889" s="1"/>
      <c r="G889" s="1"/>
      <c r="H889" s="13">
        <v>4</v>
      </c>
      <c r="I889" s="13" t="s">
        <v>3</v>
      </c>
      <c r="J889" s="13" t="s">
        <v>0</v>
      </c>
      <c r="L889" s="13">
        <f>Z877</f>
        <v>861</v>
      </c>
    </row>
    <row r="890" spans="1:19" x14ac:dyDescent="0.35">
      <c r="A890" s="4"/>
      <c r="D890" s="1"/>
      <c r="E890" s="1"/>
      <c r="F890" s="1"/>
      <c r="G890" s="1"/>
      <c r="H890" s="13">
        <v>4</v>
      </c>
      <c r="I890" s="13" t="s">
        <v>3</v>
      </c>
      <c r="J890" s="13" t="s">
        <v>2</v>
      </c>
      <c r="L890" s="13">
        <f>Z878</f>
        <v>1038</v>
      </c>
    </row>
    <row r="891" spans="1:19" x14ac:dyDescent="0.35">
      <c r="A891" s="4"/>
      <c r="D891" s="1"/>
      <c r="E891" s="1"/>
      <c r="F891" s="1"/>
      <c r="G891" s="1"/>
      <c r="H891" s="13">
        <v>4</v>
      </c>
      <c r="I891" s="13" t="s">
        <v>1</v>
      </c>
      <c r="J891" s="13" t="s">
        <v>0</v>
      </c>
      <c r="L891" s="13">
        <f>Z879</f>
        <v>1086</v>
      </c>
    </row>
    <row r="892" spans="1:19" x14ac:dyDescent="0.35">
      <c r="A892" s="4"/>
      <c r="D892" s="1"/>
      <c r="E892" s="1"/>
      <c r="F892" s="1"/>
      <c r="G892" s="1"/>
      <c r="H892" s="13">
        <v>4</v>
      </c>
      <c r="I892" s="13" t="s">
        <v>1</v>
      </c>
      <c r="J892" s="13" t="s">
        <v>2</v>
      </c>
      <c r="L892" s="13">
        <f>Z880</f>
        <v>1423</v>
      </c>
    </row>
    <row r="893" spans="1:19" x14ac:dyDescent="0.35">
      <c r="A893" s="4"/>
      <c r="D893" s="1"/>
      <c r="E893" s="1"/>
      <c r="F893" s="1"/>
      <c r="G893" s="1"/>
      <c r="H893" s="13">
        <v>5</v>
      </c>
      <c r="I893" s="13" t="s">
        <v>3</v>
      </c>
      <c r="J893" s="13" t="s">
        <v>0</v>
      </c>
      <c r="L893" s="13">
        <f>AA877</f>
        <v>1096</v>
      </c>
    </row>
    <row r="894" spans="1:19" x14ac:dyDescent="0.35">
      <c r="A894" s="4"/>
      <c r="D894" s="1"/>
      <c r="E894" s="1"/>
      <c r="F894" s="1"/>
      <c r="G894" s="1"/>
      <c r="H894" s="13">
        <v>5</v>
      </c>
      <c r="I894" s="13" t="s">
        <v>3</v>
      </c>
      <c r="J894" s="13" t="s">
        <v>2</v>
      </c>
      <c r="L894" s="13">
        <f>AA878</f>
        <v>1211</v>
      </c>
    </row>
    <row r="895" spans="1:19" x14ac:dyDescent="0.35">
      <c r="A895" s="4"/>
      <c r="D895" s="1"/>
      <c r="E895" s="1"/>
      <c r="F895" s="1"/>
      <c r="G895" s="1"/>
      <c r="H895" s="13">
        <v>5</v>
      </c>
      <c r="I895" s="13" t="s">
        <v>1</v>
      </c>
      <c r="J895" s="13" t="s">
        <v>0</v>
      </c>
      <c r="L895" s="13">
        <f>AA879</f>
        <v>1008</v>
      </c>
    </row>
    <row r="896" spans="1:19" x14ac:dyDescent="0.35">
      <c r="A896" s="4"/>
      <c r="D896" s="1"/>
      <c r="E896" s="1"/>
      <c r="F896" s="1"/>
      <c r="G896" s="1"/>
      <c r="H896" s="13">
        <v>5</v>
      </c>
      <c r="I896" s="13" t="s">
        <v>1</v>
      </c>
      <c r="J896" s="13" t="s">
        <v>2</v>
      </c>
      <c r="L896" s="13">
        <f>AA880</f>
        <v>1260</v>
      </c>
    </row>
    <row r="897" spans="1:12" x14ac:dyDescent="0.35">
      <c r="A897" s="4"/>
      <c r="D897" s="1"/>
      <c r="E897" s="1"/>
      <c r="F897" s="1"/>
      <c r="G897" s="1"/>
      <c r="H897" s="13">
        <v>6</v>
      </c>
      <c r="I897" s="13" t="s">
        <v>3</v>
      </c>
      <c r="J897" s="13" t="s">
        <v>0</v>
      </c>
      <c r="L897" s="13">
        <f>AB877</f>
        <v>1034</v>
      </c>
    </row>
    <row r="898" spans="1:12" x14ac:dyDescent="0.35">
      <c r="A898" s="4"/>
      <c r="D898" s="1"/>
      <c r="E898" s="1"/>
      <c r="F898" s="1"/>
      <c r="G898" s="1"/>
      <c r="H898" s="13">
        <v>6</v>
      </c>
      <c r="I898" s="13" t="s">
        <v>3</v>
      </c>
      <c r="J898" s="13" t="s">
        <v>2</v>
      </c>
      <c r="L898" s="13">
        <f>AB878</f>
        <v>1289</v>
      </c>
    </row>
    <row r="899" spans="1:12" x14ac:dyDescent="0.35">
      <c r="A899" s="4"/>
      <c r="D899" s="1"/>
      <c r="E899" s="1"/>
      <c r="F899" s="1"/>
      <c r="G899" s="1"/>
      <c r="H899" s="13">
        <v>6</v>
      </c>
      <c r="I899" s="13" t="s">
        <v>1</v>
      </c>
      <c r="J899" s="13" t="s">
        <v>0</v>
      </c>
      <c r="L899" s="13">
        <f>AB879</f>
        <v>753</v>
      </c>
    </row>
    <row r="900" spans="1:12" x14ac:dyDescent="0.35">
      <c r="A900" s="4"/>
      <c r="D900" s="1"/>
      <c r="E900" s="1"/>
      <c r="F900" s="1"/>
      <c r="G900" s="1"/>
      <c r="H900" s="13">
        <v>6</v>
      </c>
      <c r="I900" s="13" t="s">
        <v>1</v>
      </c>
      <c r="J900" s="13" t="s">
        <v>2</v>
      </c>
      <c r="L900" s="13">
        <f>AB880</f>
        <v>875</v>
      </c>
    </row>
    <row r="901" spans="1:12" x14ac:dyDescent="0.35">
      <c r="A901" s="4"/>
      <c r="D901" s="1"/>
      <c r="E901" s="1"/>
      <c r="F901" s="1"/>
      <c r="G901" s="1"/>
      <c r="H901" s="13">
        <v>7</v>
      </c>
      <c r="I901" s="13" t="s">
        <v>3</v>
      </c>
      <c r="J901" s="13" t="s">
        <v>0</v>
      </c>
      <c r="L901" s="13">
        <f>AC877</f>
        <v>1177</v>
      </c>
    </row>
    <row r="902" spans="1:12" x14ac:dyDescent="0.35">
      <c r="A902" s="4"/>
      <c r="D902" s="1"/>
      <c r="E902" s="1"/>
      <c r="F902" s="1"/>
      <c r="G902" s="1"/>
      <c r="H902" s="13">
        <v>7</v>
      </c>
      <c r="I902" s="13" t="s">
        <v>3</v>
      </c>
      <c r="J902" s="13" t="s">
        <v>2</v>
      </c>
      <c r="L902" s="13">
        <f>AC878</f>
        <v>1362</v>
      </c>
    </row>
    <row r="903" spans="1:12" x14ac:dyDescent="0.35">
      <c r="A903" s="4"/>
      <c r="D903" s="1"/>
      <c r="E903" s="1"/>
      <c r="F903" s="1"/>
      <c r="G903" s="1"/>
      <c r="H903" s="13">
        <v>7</v>
      </c>
      <c r="I903" s="13" t="s">
        <v>1</v>
      </c>
      <c r="J903" s="13" t="s">
        <v>0</v>
      </c>
      <c r="L903" s="13">
        <f>AC879</f>
        <v>518</v>
      </c>
    </row>
    <row r="904" spans="1:12" x14ac:dyDescent="0.35">
      <c r="A904" s="4"/>
      <c r="D904" s="1"/>
      <c r="E904" s="1"/>
      <c r="F904" s="1"/>
      <c r="G904" s="1"/>
      <c r="H904" s="13">
        <v>7</v>
      </c>
      <c r="I904" s="13" t="s">
        <v>1</v>
      </c>
      <c r="J904" s="13" t="s">
        <v>2</v>
      </c>
      <c r="L904" s="13">
        <f>AC880</f>
        <v>586</v>
      </c>
    </row>
    <row r="905" spans="1:12" x14ac:dyDescent="0.35">
      <c r="A905" s="4"/>
      <c r="D905" s="1"/>
      <c r="E905" s="1"/>
      <c r="F905" s="1"/>
      <c r="G905" s="1"/>
      <c r="H905" s="13">
        <v>8</v>
      </c>
      <c r="I905" s="13" t="s">
        <v>3</v>
      </c>
      <c r="J905" s="13" t="s">
        <v>0</v>
      </c>
      <c r="L905" s="13">
        <f>AD877</f>
        <v>1097</v>
      </c>
    </row>
    <row r="906" spans="1:12" x14ac:dyDescent="0.35">
      <c r="A906" s="4"/>
      <c r="D906" s="1"/>
      <c r="E906" s="1"/>
      <c r="F906" s="1"/>
      <c r="G906" s="1"/>
      <c r="H906" s="13">
        <v>8</v>
      </c>
      <c r="I906" s="13" t="s">
        <v>3</v>
      </c>
      <c r="J906" s="13" t="s">
        <v>2</v>
      </c>
      <c r="L906" s="13">
        <f>AD878</f>
        <v>1091</v>
      </c>
    </row>
    <row r="907" spans="1:12" x14ac:dyDescent="0.35">
      <c r="A907" s="4"/>
      <c r="D907" s="1"/>
      <c r="E907" s="1"/>
      <c r="F907" s="1"/>
      <c r="G907" s="1"/>
      <c r="H907" s="13">
        <v>8</v>
      </c>
      <c r="I907" s="13" t="s">
        <v>1</v>
      </c>
      <c r="J907" s="13" t="s">
        <v>0</v>
      </c>
      <c r="L907" s="13">
        <f>AD879</f>
        <v>520</v>
      </c>
    </row>
    <row r="908" spans="1:12" x14ac:dyDescent="0.35">
      <c r="A908" s="4"/>
      <c r="D908" s="1"/>
      <c r="E908" s="1"/>
      <c r="F908" s="1"/>
      <c r="G908" s="1"/>
      <c r="H908" s="13">
        <v>8</v>
      </c>
      <c r="I908" s="13" t="s">
        <v>1</v>
      </c>
      <c r="J908" s="13" t="s">
        <v>2</v>
      </c>
      <c r="L908" s="13">
        <f>AD880</f>
        <v>532</v>
      </c>
    </row>
    <row r="909" spans="1:12" x14ac:dyDescent="0.35">
      <c r="A909" s="4"/>
      <c r="D909" s="1"/>
      <c r="E909" s="1"/>
      <c r="F909" s="1"/>
      <c r="G909" s="1"/>
      <c r="H909" s="13">
        <v>9</v>
      </c>
      <c r="I909" s="13" t="s">
        <v>3</v>
      </c>
      <c r="J909" s="13" t="s">
        <v>0</v>
      </c>
      <c r="L909" s="13">
        <f>AE877</f>
        <v>1121</v>
      </c>
    </row>
    <row r="910" spans="1:12" x14ac:dyDescent="0.35">
      <c r="A910" s="4"/>
      <c r="D910" s="1"/>
      <c r="E910" s="1"/>
      <c r="F910" s="1"/>
      <c r="G910" s="1"/>
      <c r="H910" s="13">
        <v>9</v>
      </c>
      <c r="I910" s="13" t="s">
        <v>3</v>
      </c>
      <c r="J910" s="13" t="s">
        <v>2</v>
      </c>
      <c r="L910" s="13">
        <f>AE878</f>
        <v>1155</v>
      </c>
    </row>
    <row r="911" spans="1:12" x14ac:dyDescent="0.35">
      <c r="A911" s="4"/>
      <c r="D911" s="1"/>
      <c r="E911" s="1"/>
      <c r="F911" s="1"/>
      <c r="G911" s="1"/>
      <c r="H911" s="13">
        <v>9</v>
      </c>
      <c r="I911" s="13" t="s">
        <v>1</v>
      </c>
      <c r="J911" s="13" t="s">
        <v>0</v>
      </c>
      <c r="L911" s="13">
        <f>AE879</f>
        <v>270</v>
      </c>
    </row>
    <row r="912" spans="1:12" x14ac:dyDescent="0.35">
      <c r="A912" s="4"/>
      <c r="D912" s="1"/>
      <c r="E912" s="1"/>
      <c r="F912" s="1"/>
      <c r="G912" s="1"/>
      <c r="H912" s="13">
        <v>9</v>
      </c>
      <c r="I912" s="13" t="s">
        <v>1</v>
      </c>
      <c r="J912" s="13" t="s">
        <v>2</v>
      </c>
      <c r="L912" s="13">
        <f>AE880</f>
        <v>284</v>
      </c>
    </row>
    <row r="913" spans="1:32" x14ac:dyDescent="0.35">
      <c r="A913" s="4"/>
      <c r="D913" s="1"/>
      <c r="E913" s="1"/>
      <c r="F913" s="1"/>
      <c r="G913" s="1"/>
      <c r="H913" s="13">
        <v>10</v>
      </c>
      <c r="I913" s="13" t="s">
        <v>3</v>
      </c>
      <c r="J913" s="13" t="s">
        <v>0</v>
      </c>
      <c r="L913" s="13">
        <f>AF877</f>
        <v>1093</v>
      </c>
    </row>
    <row r="914" spans="1:32" x14ac:dyDescent="0.35">
      <c r="A914" s="4"/>
      <c r="D914" s="1"/>
      <c r="E914" s="1"/>
      <c r="F914" s="1"/>
      <c r="G914" s="1"/>
      <c r="H914" s="13">
        <v>10</v>
      </c>
      <c r="I914" s="13" t="s">
        <v>3</v>
      </c>
      <c r="J914" s="13" t="s">
        <v>2</v>
      </c>
      <c r="L914" s="13">
        <f t="shared" ref="L914:L916" si="20">AF878</f>
        <v>1049</v>
      </c>
    </row>
    <row r="915" spans="1:32" x14ac:dyDescent="0.35">
      <c r="A915" s="4"/>
      <c r="D915" s="1"/>
      <c r="E915" s="1"/>
      <c r="F915" s="1"/>
      <c r="G915" s="1"/>
      <c r="H915" s="13">
        <v>10</v>
      </c>
      <c r="I915" s="13" t="s">
        <v>1</v>
      </c>
      <c r="J915" s="13" t="s">
        <v>0</v>
      </c>
      <c r="L915" s="13">
        <f t="shared" si="20"/>
        <v>155</v>
      </c>
    </row>
    <row r="916" spans="1:32" x14ac:dyDescent="0.35">
      <c r="A916" s="4"/>
      <c r="D916" s="1"/>
      <c r="E916" s="1"/>
      <c r="F916" s="1"/>
      <c r="G916" s="1"/>
      <c r="H916" s="13">
        <v>10</v>
      </c>
      <c r="I916" s="13" t="s">
        <v>1</v>
      </c>
      <c r="J916" s="13" t="s">
        <v>2</v>
      </c>
      <c r="L916" s="13">
        <f t="shared" si="20"/>
        <v>123</v>
      </c>
    </row>
    <row r="917" spans="1:32" x14ac:dyDescent="0.35">
      <c r="A917" s="4" t="s">
        <v>14</v>
      </c>
      <c r="D917" t="s">
        <v>18</v>
      </c>
      <c r="E917" t="s">
        <v>12</v>
      </c>
      <c r="F917" t="s">
        <v>17</v>
      </c>
      <c r="G917" s="1">
        <v>40</v>
      </c>
      <c r="H917" s="13">
        <v>1</v>
      </c>
      <c r="I917" s="13" t="s">
        <v>3</v>
      </c>
      <c r="J917" s="13" t="s">
        <v>0</v>
      </c>
      <c r="L917" s="13">
        <f>W917</f>
        <v>3.8949527740478498</v>
      </c>
      <c r="P917" t="str">
        <f>[1]Sheet4!B352</f>
        <v>   735</v>
      </c>
      <c r="Q917" t="str">
        <f>[1]Sheet4!C352</f>
        <v>    981</v>
      </c>
      <c r="R917" t="str">
        <f>[1]Sheet4!D352</f>
        <v>    1,248</v>
      </c>
      <c r="S917" t="str">
        <f>[1]Sheet4!E352</f>
        <v>  1,719</v>
      </c>
      <c r="W917">
        <v>3.8949527740478498</v>
      </c>
      <c r="X917">
        <v>4.9012103080749503</v>
      </c>
      <c r="Y917">
        <v>4.6544394493103001</v>
      </c>
      <c r="Z917">
        <v>5.0765566825866699</v>
      </c>
      <c r="AA917">
        <v>4.4243698120117196</v>
      </c>
      <c r="AB917">
        <v>4.41078424453735</v>
      </c>
      <c r="AC917">
        <v>4.0747961997985804</v>
      </c>
      <c r="AD917">
        <v>3.76384425163269</v>
      </c>
      <c r="AE917">
        <v>3.5569317340850799</v>
      </c>
      <c r="AF917">
        <v>2.93717384338379</v>
      </c>
    </row>
    <row r="918" spans="1:32" x14ac:dyDescent="0.35">
      <c r="A918" s="4"/>
      <c r="G918" s="1"/>
      <c r="H918" s="13">
        <v>1</v>
      </c>
      <c r="I918" s="13" t="s">
        <v>3</v>
      </c>
      <c r="J918" s="13" t="s">
        <v>2</v>
      </c>
      <c r="L918" s="13">
        <f>W918</f>
        <v>4.5035381317138699</v>
      </c>
      <c r="P918" t="str">
        <f>[1]Sheet4!B353</f>
        <v>   710</v>
      </c>
      <c r="Q918" t="str">
        <f>[1]Sheet4!C353</f>
        <v>    886</v>
      </c>
      <c r="R918" t="str">
        <f>[1]Sheet4!D353</f>
        <v>    1,555</v>
      </c>
      <c r="S918" t="str">
        <f>[1]Sheet4!E353</f>
        <v>  2,195</v>
      </c>
      <c r="W918">
        <v>4.5035381317138699</v>
      </c>
      <c r="X918">
        <v>5.3454318046569798</v>
      </c>
      <c r="Y918">
        <v>4.98335886001587</v>
      </c>
      <c r="Z918">
        <v>5.4166846275329599</v>
      </c>
      <c r="AA918">
        <v>5.0092186927795401</v>
      </c>
      <c r="AB918">
        <v>4.6872882843017596</v>
      </c>
      <c r="AC918">
        <v>4.6244077682495099</v>
      </c>
      <c r="AD918">
        <v>4.49188184738159</v>
      </c>
      <c r="AE918">
        <v>3.9203264713287398</v>
      </c>
      <c r="AF918">
        <v>3.38282299041748</v>
      </c>
    </row>
    <row r="919" spans="1:32" x14ac:dyDescent="0.35">
      <c r="A919" s="4"/>
      <c r="G919" s="1"/>
      <c r="H919" s="13">
        <v>1</v>
      </c>
      <c r="I919" s="13" t="s">
        <v>1</v>
      </c>
      <c r="J919" s="13" t="s">
        <v>0</v>
      </c>
      <c r="L919" s="13">
        <f>W919</f>
        <v>5.6301016807556197</v>
      </c>
      <c r="P919" t="str">
        <f>[1]Sheet4!B354</f>
        <v>   840</v>
      </c>
      <c r="Q919" t="str">
        <f>[1]Sheet4!C354</f>
        <v>  1,111</v>
      </c>
      <c r="R919" t="str">
        <f>[1]Sheet4!D354</f>
        <v>    1,373</v>
      </c>
      <c r="S919" t="str">
        <f>[1]Sheet4!E354</f>
        <v>  1,751</v>
      </c>
      <c r="W919">
        <v>5.6301016807556197</v>
      </c>
      <c r="X919">
        <v>6.4830141067504901</v>
      </c>
      <c r="Y919">
        <v>6.4366569519043004</v>
      </c>
      <c r="Z919">
        <v>5.6491732597351101</v>
      </c>
      <c r="AA919">
        <v>5.8500399589538601</v>
      </c>
      <c r="AB919">
        <v>5.2047824859619096</v>
      </c>
      <c r="AC919">
        <v>4.5733580589294398</v>
      </c>
      <c r="AD919">
        <v>4.6128234863281303</v>
      </c>
      <c r="AE919">
        <v>3.76453733444214</v>
      </c>
      <c r="AF919">
        <v>2.75321292877197</v>
      </c>
    </row>
    <row r="920" spans="1:32" x14ac:dyDescent="0.35">
      <c r="A920" s="4"/>
      <c r="G920" s="1"/>
      <c r="H920" s="13">
        <v>1</v>
      </c>
      <c r="I920" s="13" t="s">
        <v>1</v>
      </c>
      <c r="J920" s="13" t="s">
        <v>2</v>
      </c>
      <c r="L920" s="13">
        <f>W920</f>
        <v>5.8285322189331099</v>
      </c>
      <c r="P920" t="str">
        <f>[1]Sheet4!B355</f>
        <v>   861</v>
      </c>
      <c r="Q920" t="str">
        <f>[1]Sheet4!C355</f>
        <v>  1,038</v>
      </c>
      <c r="R920" t="str">
        <f>[1]Sheet4!D355</f>
        <v>    1,086</v>
      </c>
      <c r="S920" t="str">
        <f>[1]Sheet4!E355</f>
        <v>  1,423</v>
      </c>
      <c r="W920">
        <v>5.8285322189331099</v>
      </c>
      <c r="X920">
        <v>6.9062852859497097</v>
      </c>
      <c r="Y920">
        <v>7.0498700141906703</v>
      </c>
      <c r="Z920">
        <v>6.1874189376831099</v>
      </c>
      <c r="AA920">
        <v>6.4020752906799299</v>
      </c>
      <c r="AB920">
        <v>5.9615135192871103</v>
      </c>
      <c r="AC920">
        <v>5.7867732048034703</v>
      </c>
      <c r="AD920">
        <v>5.7850875854492196</v>
      </c>
      <c r="AE920">
        <v>4.5043902397155797</v>
      </c>
      <c r="AF920">
        <v>3.0392694473266602</v>
      </c>
    </row>
    <row r="921" spans="1:32" x14ac:dyDescent="0.35">
      <c r="A921" s="4"/>
      <c r="G921" s="1"/>
      <c r="H921" s="13">
        <v>2</v>
      </c>
      <c r="I921" s="13" t="s">
        <v>3</v>
      </c>
      <c r="J921" s="13" t="s">
        <v>0</v>
      </c>
      <c r="L921" s="13">
        <f>X917</f>
        <v>4.9012103080749503</v>
      </c>
      <c r="P921" t="str">
        <f>[1]Sheet4!B356</f>
        <v> 1,096</v>
      </c>
      <c r="Q921" t="str">
        <f>[1]Sheet4!C356</f>
        <v>  1,211</v>
      </c>
      <c r="R921" t="str">
        <f>[1]Sheet4!D356</f>
        <v>    1,008</v>
      </c>
      <c r="S921" t="str">
        <f>[1]Sheet4!E356</f>
        <v>  1,260</v>
      </c>
    </row>
    <row r="922" spans="1:32" x14ac:dyDescent="0.35">
      <c r="A922" s="4"/>
      <c r="G922" s="1"/>
      <c r="H922" s="13">
        <v>2</v>
      </c>
      <c r="I922" s="13" t="s">
        <v>3</v>
      </c>
      <c r="J922" s="13" t="s">
        <v>2</v>
      </c>
      <c r="L922" s="13">
        <f>X918</f>
        <v>5.3454318046569798</v>
      </c>
      <c r="P922" t="str">
        <f>[1]Sheet4!B357</f>
        <v> 1,034</v>
      </c>
      <c r="Q922" t="str">
        <f>[1]Sheet4!C357</f>
        <v>  1,289</v>
      </c>
      <c r="R922" t="str">
        <f>[1]Sheet4!D357</f>
        <v>      753</v>
      </c>
      <c r="S922" t="str">
        <f>[1]Sheet4!E357</f>
        <v>    875</v>
      </c>
    </row>
    <row r="923" spans="1:32" x14ac:dyDescent="0.35">
      <c r="A923" s="4"/>
      <c r="G923" s="1"/>
      <c r="H923" s="13">
        <v>2</v>
      </c>
      <c r="I923" s="13" t="s">
        <v>1</v>
      </c>
      <c r="J923" s="13" t="s">
        <v>0</v>
      </c>
      <c r="L923" s="13">
        <f>X919</f>
        <v>6.4830141067504901</v>
      </c>
      <c r="P923" t="str">
        <f>[1]Sheet4!B358</f>
        <v> 1,177</v>
      </c>
      <c r="Q923" t="str">
        <f>[1]Sheet4!C358</f>
        <v>  1,362</v>
      </c>
      <c r="R923" t="str">
        <f>[1]Sheet4!D358</f>
        <v>      518</v>
      </c>
      <c r="S923" t="str">
        <f>[1]Sheet4!E358</f>
        <v>    586</v>
      </c>
    </row>
    <row r="924" spans="1:32" x14ac:dyDescent="0.35">
      <c r="A924" s="4"/>
      <c r="G924" s="1"/>
      <c r="H924" s="13">
        <v>2</v>
      </c>
      <c r="I924" s="13" t="s">
        <v>1</v>
      </c>
      <c r="J924" s="13" t="s">
        <v>2</v>
      </c>
      <c r="L924" s="13">
        <f>X920</f>
        <v>6.9062852859497097</v>
      </c>
      <c r="P924" t="str">
        <f>[1]Sheet4!B359</f>
        <v> 1,097</v>
      </c>
      <c r="Q924" t="str">
        <f>[1]Sheet4!C359</f>
        <v>  1,091</v>
      </c>
      <c r="R924" t="str">
        <f>[1]Sheet4!D359</f>
        <v>      520</v>
      </c>
      <c r="S924" t="str">
        <f>[1]Sheet4!E359</f>
        <v>    532</v>
      </c>
    </row>
    <row r="925" spans="1:32" x14ac:dyDescent="0.35">
      <c r="A925" s="4"/>
      <c r="G925" s="1"/>
      <c r="H925" s="13">
        <v>3</v>
      </c>
      <c r="I925" s="13" t="s">
        <v>3</v>
      </c>
      <c r="J925" s="13" t="s">
        <v>0</v>
      </c>
      <c r="L925" s="13">
        <f>Y917</f>
        <v>4.6544394493103001</v>
      </c>
      <c r="P925" t="str">
        <f>[1]Sheet4!B360</f>
        <v> 1,121</v>
      </c>
      <c r="Q925" t="str">
        <f>[1]Sheet4!C360</f>
        <v>  1,155</v>
      </c>
      <c r="R925" t="str">
        <f>[1]Sheet4!D360</f>
        <v>      270</v>
      </c>
      <c r="S925" t="str">
        <f>[1]Sheet4!E360</f>
        <v>    284</v>
      </c>
    </row>
    <row r="926" spans="1:32" x14ac:dyDescent="0.35">
      <c r="A926" s="4"/>
      <c r="G926" s="1"/>
      <c r="H926" s="13">
        <v>3</v>
      </c>
      <c r="I926" s="13" t="s">
        <v>3</v>
      </c>
      <c r="J926" s="13" t="s">
        <v>2</v>
      </c>
      <c r="L926" s="13">
        <f>Y918</f>
        <v>4.98335886001587</v>
      </c>
      <c r="P926" t="str">
        <f>[1]Sheet4!B361</f>
        <v> 1,093</v>
      </c>
      <c r="Q926" t="str">
        <f>[1]Sheet4!C361</f>
        <v>  1,049</v>
      </c>
      <c r="R926" t="str">
        <f>[1]Sheet4!D361</f>
        <v>      155</v>
      </c>
      <c r="S926" t="str">
        <f>[1]Sheet4!E361</f>
        <v>    123</v>
      </c>
    </row>
    <row r="927" spans="1:32" x14ac:dyDescent="0.35">
      <c r="A927" s="4"/>
      <c r="G927" s="1"/>
      <c r="H927" s="13">
        <v>3</v>
      </c>
      <c r="I927" s="13" t="s">
        <v>1</v>
      </c>
      <c r="J927" s="13" t="s">
        <v>0</v>
      </c>
      <c r="L927" s="13">
        <f>Y919</f>
        <v>6.4366569519043004</v>
      </c>
    </row>
    <row r="928" spans="1:32" x14ac:dyDescent="0.35">
      <c r="A928" s="4"/>
      <c r="G928" s="1"/>
      <c r="H928" s="13">
        <v>3</v>
      </c>
      <c r="I928" s="13" t="s">
        <v>1</v>
      </c>
      <c r="J928" s="13" t="s">
        <v>2</v>
      </c>
      <c r="L928" s="13">
        <f>Y920</f>
        <v>7.0498700141906703</v>
      </c>
    </row>
    <row r="929" spans="1:12" x14ac:dyDescent="0.35">
      <c r="A929" s="4"/>
      <c r="G929" s="1"/>
      <c r="H929" s="13">
        <v>4</v>
      </c>
      <c r="I929" s="13" t="s">
        <v>3</v>
      </c>
      <c r="J929" s="13" t="s">
        <v>0</v>
      </c>
      <c r="L929" s="13">
        <f>Z917</f>
        <v>5.0765566825866699</v>
      </c>
    </row>
    <row r="930" spans="1:12" x14ac:dyDescent="0.35">
      <c r="A930" s="4"/>
      <c r="G930" s="1"/>
      <c r="H930" s="13">
        <v>4</v>
      </c>
      <c r="I930" s="13" t="s">
        <v>3</v>
      </c>
      <c r="J930" s="13" t="s">
        <v>2</v>
      </c>
      <c r="L930" s="13">
        <f>Z918</f>
        <v>5.4166846275329599</v>
      </c>
    </row>
    <row r="931" spans="1:12" x14ac:dyDescent="0.35">
      <c r="A931" s="4"/>
      <c r="G931" s="1"/>
      <c r="H931" s="13">
        <v>4</v>
      </c>
      <c r="I931" s="13" t="s">
        <v>1</v>
      </c>
      <c r="J931" s="13" t="s">
        <v>0</v>
      </c>
      <c r="L931" s="13">
        <f>Z919</f>
        <v>5.6491732597351101</v>
      </c>
    </row>
    <row r="932" spans="1:12" x14ac:dyDescent="0.35">
      <c r="A932" s="4"/>
      <c r="G932" s="1"/>
      <c r="H932" s="13">
        <v>4</v>
      </c>
      <c r="I932" s="13" t="s">
        <v>1</v>
      </c>
      <c r="J932" s="13" t="s">
        <v>2</v>
      </c>
      <c r="L932" s="13">
        <f>Z920</f>
        <v>6.1874189376831099</v>
      </c>
    </row>
    <row r="933" spans="1:12" x14ac:dyDescent="0.35">
      <c r="A933" s="4"/>
      <c r="G933" s="1"/>
      <c r="H933" s="13">
        <v>5</v>
      </c>
      <c r="I933" s="13" t="s">
        <v>3</v>
      </c>
      <c r="J933" s="13" t="s">
        <v>0</v>
      </c>
      <c r="L933" s="13">
        <f>AA917</f>
        <v>4.4243698120117196</v>
      </c>
    </row>
    <row r="934" spans="1:12" x14ac:dyDescent="0.35">
      <c r="A934" s="4"/>
      <c r="G934" s="1"/>
      <c r="H934" s="13">
        <v>5</v>
      </c>
      <c r="I934" s="13" t="s">
        <v>3</v>
      </c>
      <c r="J934" s="13" t="s">
        <v>2</v>
      </c>
      <c r="L934" s="13">
        <f>AA918</f>
        <v>5.0092186927795401</v>
      </c>
    </row>
    <row r="935" spans="1:12" x14ac:dyDescent="0.35">
      <c r="A935" s="4"/>
      <c r="G935" s="1"/>
      <c r="H935" s="13">
        <v>5</v>
      </c>
      <c r="I935" s="13" t="s">
        <v>1</v>
      </c>
      <c r="J935" s="13" t="s">
        <v>0</v>
      </c>
      <c r="L935" s="13">
        <f>AA919</f>
        <v>5.8500399589538601</v>
      </c>
    </row>
    <row r="936" spans="1:12" x14ac:dyDescent="0.35">
      <c r="A936" s="4"/>
      <c r="G936" s="1"/>
      <c r="H936" s="13">
        <v>5</v>
      </c>
      <c r="I936" s="13" t="s">
        <v>1</v>
      </c>
      <c r="J936" s="13" t="s">
        <v>2</v>
      </c>
      <c r="L936" s="13">
        <f>AA920</f>
        <v>6.4020752906799299</v>
      </c>
    </row>
    <row r="937" spans="1:12" x14ac:dyDescent="0.35">
      <c r="A937" s="4"/>
      <c r="G937" s="1"/>
      <c r="H937" s="13">
        <v>6</v>
      </c>
      <c r="I937" s="13" t="s">
        <v>3</v>
      </c>
      <c r="J937" s="13" t="s">
        <v>0</v>
      </c>
      <c r="L937" s="13">
        <f>AB917</f>
        <v>4.41078424453735</v>
      </c>
    </row>
    <row r="938" spans="1:12" x14ac:dyDescent="0.35">
      <c r="A938" s="4"/>
      <c r="G938" s="1"/>
      <c r="H938" s="13">
        <v>6</v>
      </c>
      <c r="I938" s="13" t="s">
        <v>3</v>
      </c>
      <c r="J938" s="13" t="s">
        <v>2</v>
      </c>
      <c r="L938" s="13">
        <f>AB918</f>
        <v>4.6872882843017596</v>
      </c>
    </row>
    <row r="939" spans="1:12" x14ac:dyDescent="0.35">
      <c r="A939" s="4"/>
      <c r="G939" s="1"/>
      <c r="H939" s="13">
        <v>6</v>
      </c>
      <c r="I939" s="13" t="s">
        <v>1</v>
      </c>
      <c r="J939" s="13" t="s">
        <v>0</v>
      </c>
      <c r="L939" s="13">
        <f>AB919</f>
        <v>5.2047824859619096</v>
      </c>
    </row>
    <row r="940" spans="1:12" x14ac:dyDescent="0.35">
      <c r="A940" s="4"/>
      <c r="G940" s="1"/>
      <c r="H940" s="13">
        <v>6</v>
      </c>
      <c r="I940" s="13" t="s">
        <v>1</v>
      </c>
      <c r="J940" s="13" t="s">
        <v>2</v>
      </c>
      <c r="L940" s="13">
        <f>AB920</f>
        <v>5.9615135192871103</v>
      </c>
    </row>
    <row r="941" spans="1:12" x14ac:dyDescent="0.35">
      <c r="A941" s="4"/>
      <c r="G941" s="1"/>
      <c r="H941" s="13">
        <v>7</v>
      </c>
      <c r="I941" s="13" t="s">
        <v>3</v>
      </c>
      <c r="J941" s="13" t="s">
        <v>0</v>
      </c>
      <c r="L941" s="13">
        <f>AC917</f>
        <v>4.0747961997985804</v>
      </c>
    </row>
    <row r="942" spans="1:12" x14ac:dyDescent="0.35">
      <c r="A942" s="4"/>
      <c r="G942" s="1"/>
      <c r="H942" s="13">
        <v>7</v>
      </c>
      <c r="I942" s="13" t="s">
        <v>3</v>
      </c>
      <c r="J942" s="13" t="s">
        <v>2</v>
      </c>
      <c r="L942" s="13">
        <f>AC918</f>
        <v>4.6244077682495099</v>
      </c>
    </row>
    <row r="943" spans="1:12" x14ac:dyDescent="0.35">
      <c r="A943" s="4"/>
      <c r="G943" s="1"/>
      <c r="H943" s="13">
        <v>7</v>
      </c>
      <c r="I943" s="13" t="s">
        <v>1</v>
      </c>
      <c r="J943" s="13" t="s">
        <v>0</v>
      </c>
      <c r="L943" s="13">
        <f>AC919</f>
        <v>4.5733580589294398</v>
      </c>
    </row>
    <row r="944" spans="1:12" x14ac:dyDescent="0.35">
      <c r="A944" s="4"/>
      <c r="G944" s="1"/>
      <c r="H944" s="13">
        <v>7</v>
      </c>
      <c r="I944" s="13" t="s">
        <v>1</v>
      </c>
      <c r="J944" s="13" t="s">
        <v>2</v>
      </c>
      <c r="L944" s="13">
        <f>AC920</f>
        <v>5.7867732048034703</v>
      </c>
    </row>
    <row r="945" spans="1:32" x14ac:dyDescent="0.35">
      <c r="A945" s="4"/>
      <c r="G945" s="1"/>
      <c r="H945" s="13">
        <v>8</v>
      </c>
      <c r="I945" s="13" t="s">
        <v>3</v>
      </c>
      <c r="J945" s="13" t="s">
        <v>0</v>
      </c>
      <c r="L945" s="13">
        <f>AD917</f>
        <v>3.76384425163269</v>
      </c>
    </row>
    <row r="946" spans="1:32" x14ac:dyDescent="0.35">
      <c r="A946" s="4"/>
      <c r="G946" s="1"/>
      <c r="H946" s="13">
        <v>8</v>
      </c>
      <c r="I946" s="13" t="s">
        <v>3</v>
      </c>
      <c r="J946" s="13" t="s">
        <v>2</v>
      </c>
      <c r="L946" s="13">
        <f>AD918</f>
        <v>4.49188184738159</v>
      </c>
    </row>
    <row r="947" spans="1:32" x14ac:dyDescent="0.35">
      <c r="A947" s="4"/>
      <c r="G947" s="1"/>
      <c r="H947" s="13">
        <v>8</v>
      </c>
      <c r="I947" s="13" t="s">
        <v>1</v>
      </c>
      <c r="J947" s="13" t="s">
        <v>0</v>
      </c>
      <c r="L947" s="13">
        <f>AD919</f>
        <v>4.6128234863281303</v>
      </c>
    </row>
    <row r="948" spans="1:32" x14ac:dyDescent="0.35">
      <c r="A948" s="4"/>
      <c r="G948" s="1"/>
      <c r="H948" s="13">
        <v>8</v>
      </c>
      <c r="I948" s="13" t="s">
        <v>1</v>
      </c>
      <c r="J948" s="13" t="s">
        <v>2</v>
      </c>
      <c r="L948" s="13">
        <f>AD920</f>
        <v>5.7850875854492196</v>
      </c>
    </row>
    <row r="949" spans="1:32" x14ac:dyDescent="0.35">
      <c r="A949" s="4"/>
      <c r="G949" s="1"/>
      <c r="H949" s="13">
        <v>9</v>
      </c>
      <c r="I949" s="13" t="s">
        <v>3</v>
      </c>
      <c r="J949" s="13" t="s">
        <v>0</v>
      </c>
      <c r="L949" s="13">
        <f>AE917</f>
        <v>3.5569317340850799</v>
      </c>
    </row>
    <row r="950" spans="1:32" x14ac:dyDescent="0.35">
      <c r="A950" s="4"/>
      <c r="G950" s="1"/>
      <c r="H950" s="13">
        <v>9</v>
      </c>
      <c r="I950" s="13" t="s">
        <v>3</v>
      </c>
      <c r="J950" s="13" t="s">
        <v>2</v>
      </c>
      <c r="L950" s="13">
        <f>AE918</f>
        <v>3.9203264713287398</v>
      </c>
    </row>
    <row r="951" spans="1:32" x14ac:dyDescent="0.35">
      <c r="A951" s="4"/>
      <c r="G951" s="1"/>
      <c r="H951" s="13">
        <v>9</v>
      </c>
      <c r="I951" s="13" t="s">
        <v>1</v>
      </c>
      <c r="J951" s="13" t="s">
        <v>0</v>
      </c>
      <c r="L951" s="13">
        <f>AE919</f>
        <v>3.76453733444214</v>
      </c>
    </row>
    <row r="952" spans="1:32" x14ac:dyDescent="0.35">
      <c r="A952" s="4"/>
      <c r="G952" s="1"/>
      <c r="H952" s="13">
        <v>9</v>
      </c>
      <c r="I952" s="13" t="s">
        <v>1</v>
      </c>
      <c r="J952" s="13" t="s">
        <v>2</v>
      </c>
      <c r="L952" s="13">
        <f>AE920</f>
        <v>4.5043902397155797</v>
      </c>
    </row>
    <row r="953" spans="1:32" x14ac:dyDescent="0.35">
      <c r="A953" s="4"/>
      <c r="G953" s="1"/>
      <c r="H953" s="13">
        <v>10</v>
      </c>
      <c r="I953" s="13" t="s">
        <v>3</v>
      </c>
      <c r="J953" s="13" t="s">
        <v>0</v>
      </c>
      <c r="L953" s="13">
        <f>AF917</f>
        <v>2.93717384338379</v>
      </c>
    </row>
    <row r="954" spans="1:32" x14ac:dyDescent="0.35">
      <c r="A954" s="4"/>
      <c r="G954" s="1"/>
      <c r="H954" s="13">
        <v>10</v>
      </c>
      <c r="I954" s="13" t="s">
        <v>3</v>
      </c>
      <c r="J954" s="13" t="s">
        <v>2</v>
      </c>
      <c r="L954" s="13">
        <f t="shared" ref="L954:L956" si="21">AF918</f>
        <v>3.38282299041748</v>
      </c>
    </row>
    <row r="955" spans="1:32" x14ac:dyDescent="0.35">
      <c r="A955" s="4"/>
      <c r="G955" s="1"/>
      <c r="H955" s="13">
        <v>10</v>
      </c>
      <c r="I955" s="13" t="s">
        <v>1</v>
      </c>
      <c r="J955" s="13" t="s">
        <v>0</v>
      </c>
      <c r="L955" s="13">
        <f t="shared" si="21"/>
        <v>2.75321292877197</v>
      </c>
    </row>
    <row r="956" spans="1:32" x14ac:dyDescent="0.35">
      <c r="A956" s="4"/>
      <c r="G956" s="1"/>
      <c r="H956" s="13">
        <v>10</v>
      </c>
      <c r="I956" s="13" t="s">
        <v>1</v>
      </c>
      <c r="J956" s="13" t="s">
        <v>2</v>
      </c>
      <c r="L956" s="13">
        <f t="shared" si="21"/>
        <v>3.0392694473266602</v>
      </c>
    </row>
    <row r="957" spans="1:32" x14ac:dyDescent="0.35">
      <c r="A957" s="4" t="s">
        <v>14</v>
      </c>
      <c r="D957" t="s">
        <v>16</v>
      </c>
      <c r="E957" t="s">
        <v>12</v>
      </c>
      <c r="F957" t="s">
        <v>15</v>
      </c>
      <c r="G957" s="1">
        <v>40</v>
      </c>
      <c r="H957" s="13">
        <v>1</v>
      </c>
      <c r="I957" s="13" t="s">
        <v>3</v>
      </c>
      <c r="J957" s="13" t="s">
        <v>0</v>
      </c>
      <c r="L957" s="13">
        <f>W957</f>
        <v>2.670766</v>
      </c>
      <c r="P957" t="str">
        <f>[1]Sheet4!B372</f>
        <v> 3.89495277404785</v>
      </c>
      <c r="Q957" t="str">
        <f>[1]Sheet4!C372</f>
        <v>  4.50353813171387</v>
      </c>
      <c r="R957" t="str">
        <f>[1]Sheet4!D372</f>
        <v>    5.63010168075562</v>
      </c>
      <c r="S957" t="str">
        <f>[1]Sheet4!E372</f>
        <v>  5.82853221893311</v>
      </c>
      <c r="W957">
        <v>2.670766</v>
      </c>
      <c r="X957">
        <v>3.1786789999999998</v>
      </c>
      <c r="Y957">
        <v>2.8499099999999999</v>
      </c>
      <c r="Z957">
        <v>3.3955449999999998</v>
      </c>
      <c r="AA957">
        <v>3.119729</v>
      </c>
      <c r="AB957">
        <v>3.0977670000000002</v>
      </c>
      <c r="AC957">
        <v>2.995028</v>
      </c>
      <c r="AD957">
        <v>2.8115960000000002</v>
      </c>
      <c r="AE957">
        <v>2.6393759999999999</v>
      </c>
      <c r="AF957">
        <v>2.2726030000000002</v>
      </c>
    </row>
    <row r="958" spans="1:32" x14ac:dyDescent="0.35">
      <c r="A958" s="4"/>
      <c r="G958" s="1"/>
      <c r="H958" s="13">
        <v>1</v>
      </c>
      <c r="I958" s="13" t="s">
        <v>3</v>
      </c>
      <c r="J958" s="13" t="s">
        <v>2</v>
      </c>
      <c r="L958" s="13">
        <f>W958</f>
        <v>2.7740830000000001</v>
      </c>
      <c r="P958" t="str">
        <f>[1]Sheet4!B373</f>
        <v> 4.90121030807495</v>
      </c>
      <c r="Q958" t="str">
        <f>[1]Sheet4!C373</f>
        <v>  5.34543180465698</v>
      </c>
      <c r="R958" t="str">
        <f>[1]Sheet4!D373</f>
        <v>    6.48301410675049</v>
      </c>
      <c r="S958" t="str">
        <f>[1]Sheet4!E373</f>
        <v>  6.90628528594971</v>
      </c>
      <c r="W958">
        <v>2.7740830000000001</v>
      </c>
      <c r="X958">
        <v>3.2353339999999999</v>
      </c>
      <c r="Y958">
        <v>2.9598689999999999</v>
      </c>
      <c r="Z958">
        <v>3.483228</v>
      </c>
      <c r="AA958">
        <v>3.3844660000000002</v>
      </c>
      <c r="AB958">
        <v>3.2142059999999999</v>
      </c>
      <c r="AC958">
        <v>3.213714</v>
      </c>
      <c r="AD958">
        <v>3.189457</v>
      </c>
      <c r="AE958">
        <v>2.7158549999999999</v>
      </c>
      <c r="AF958">
        <v>2.5178560000000001</v>
      </c>
    </row>
    <row r="959" spans="1:32" x14ac:dyDescent="0.35">
      <c r="A959" s="4"/>
      <c r="G959" s="1"/>
      <c r="H959" s="13">
        <v>1</v>
      </c>
      <c r="I959" s="13" t="s">
        <v>1</v>
      </c>
      <c r="J959" s="13" t="s">
        <v>0</v>
      </c>
      <c r="L959" s="13">
        <f>W959</f>
        <v>3.344862</v>
      </c>
      <c r="P959" t="str">
        <f>[1]Sheet4!B374</f>
        <v>  4.6544394493103</v>
      </c>
      <c r="Q959" t="str">
        <f>[1]Sheet4!C374</f>
        <v>  4.98335886001587</v>
      </c>
      <c r="R959" t="str">
        <f>[1]Sheet4!D374</f>
        <v>     6.4366569519043</v>
      </c>
      <c r="S959" t="str">
        <f>[1]Sheet4!E374</f>
        <v>  7.04987001419067</v>
      </c>
      <c r="W959">
        <v>3.344862</v>
      </c>
      <c r="X959">
        <v>3.7594560000000001</v>
      </c>
      <c r="Y959">
        <v>3.759544</v>
      </c>
      <c r="Z959">
        <v>3.591269</v>
      </c>
      <c r="AA959">
        <v>3.7532480000000001</v>
      </c>
      <c r="AB959">
        <v>3.4906779999999999</v>
      </c>
      <c r="AC959">
        <v>3.28382</v>
      </c>
      <c r="AD959">
        <v>3.3078270000000001</v>
      </c>
      <c r="AE959">
        <v>2.6138319999999999</v>
      </c>
      <c r="AF959">
        <v>2.0233189999999999</v>
      </c>
    </row>
    <row r="960" spans="1:32" x14ac:dyDescent="0.35">
      <c r="A960" s="4"/>
      <c r="G960" s="1"/>
      <c r="H960" s="13">
        <v>1</v>
      </c>
      <c r="I960" s="13" t="s">
        <v>1</v>
      </c>
      <c r="J960" s="13" t="s">
        <v>2</v>
      </c>
      <c r="L960" s="13">
        <f>W960</f>
        <v>3.3057850000000002</v>
      </c>
      <c r="P960" t="str">
        <f>[1]Sheet4!B375</f>
        <v> 5.07655668258667</v>
      </c>
      <c r="Q960" t="str">
        <f>[1]Sheet4!C375</f>
        <v>  5.41668462753296</v>
      </c>
      <c r="R960" t="str">
        <f>[1]Sheet4!D375</f>
        <v>    5.64917325973511</v>
      </c>
      <c r="S960" t="str">
        <f>[1]Sheet4!E375</f>
        <v>  6.18741893768311</v>
      </c>
      <c r="W960">
        <v>3.3057850000000002</v>
      </c>
      <c r="X960">
        <v>3.8294069999999998</v>
      </c>
      <c r="Y960">
        <v>3.968391</v>
      </c>
      <c r="Z960">
        <v>3.677556</v>
      </c>
      <c r="AA960">
        <v>3.8615339999999998</v>
      </c>
      <c r="AB960">
        <v>3.8409960000000001</v>
      </c>
      <c r="AC960">
        <v>3.945411</v>
      </c>
      <c r="AD960">
        <v>3.8948680000000002</v>
      </c>
      <c r="AE960">
        <v>2.869497</v>
      </c>
      <c r="AF960">
        <v>2.2119800000000001</v>
      </c>
    </row>
    <row r="961" spans="1:19" x14ac:dyDescent="0.35">
      <c r="A961" s="4"/>
      <c r="G961" s="1"/>
      <c r="H961" s="13">
        <v>2</v>
      </c>
      <c r="I961" s="13" t="s">
        <v>3</v>
      </c>
      <c r="J961" s="13" t="s">
        <v>0</v>
      </c>
      <c r="L961" s="13">
        <f>X957</f>
        <v>3.1786789999999998</v>
      </c>
      <c r="P961" t="str">
        <f>[1]Sheet4!B376</f>
        <v> 4.42436981201172</v>
      </c>
      <c r="Q961" t="str">
        <f>[1]Sheet4!C376</f>
        <v>  5.00921869277954</v>
      </c>
      <c r="R961" t="str">
        <f>[1]Sheet4!D376</f>
        <v>    5.85003995895386</v>
      </c>
      <c r="S961" t="str">
        <f>[1]Sheet4!E376</f>
        <v>  6.40207529067993</v>
      </c>
    </row>
    <row r="962" spans="1:19" x14ac:dyDescent="0.35">
      <c r="A962" s="4"/>
      <c r="G962" s="1"/>
      <c r="H962" s="13">
        <v>2</v>
      </c>
      <c r="I962" s="13" t="s">
        <v>3</v>
      </c>
      <c r="J962" s="13" t="s">
        <v>2</v>
      </c>
      <c r="L962" s="13">
        <f>X958</f>
        <v>3.2353339999999999</v>
      </c>
      <c r="P962" t="str">
        <f>[1]Sheet4!B377</f>
        <v> 4.41078424453735</v>
      </c>
      <c r="Q962" t="str">
        <f>[1]Sheet4!C377</f>
        <v>  4.68728828430176</v>
      </c>
      <c r="R962" t="str">
        <f>[1]Sheet4!D377</f>
        <v>    5.20478248596191</v>
      </c>
      <c r="S962" t="str">
        <f>[1]Sheet4!E377</f>
        <v>  5.96151351928711</v>
      </c>
    </row>
    <row r="963" spans="1:19" x14ac:dyDescent="0.35">
      <c r="A963" s="4"/>
      <c r="G963" s="1"/>
      <c r="H963" s="13">
        <v>2</v>
      </c>
      <c r="I963" s="13" t="s">
        <v>1</v>
      </c>
      <c r="J963" s="13" t="s">
        <v>0</v>
      </c>
      <c r="L963" s="13">
        <f>X959</f>
        <v>3.7594560000000001</v>
      </c>
      <c r="P963" t="str">
        <f>[1]Sheet4!B378</f>
        <v> 4.07479619979858</v>
      </c>
      <c r="Q963" t="str">
        <f>[1]Sheet4!C378</f>
        <v>  4.62440776824951</v>
      </c>
      <c r="R963" t="str">
        <f>[1]Sheet4!D378</f>
        <v>    4.57335805892944</v>
      </c>
      <c r="S963" t="str">
        <f>[1]Sheet4!E378</f>
        <v>  5.78677320480347</v>
      </c>
    </row>
    <row r="964" spans="1:19" x14ac:dyDescent="0.35">
      <c r="A964" s="4"/>
      <c r="G964" s="1"/>
      <c r="H964" s="13">
        <v>2</v>
      </c>
      <c r="I964" s="13" t="s">
        <v>1</v>
      </c>
      <c r="J964" s="13" t="s">
        <v>2</v>
      </c>
      <c r="L964" s="13">
        <f>X960</f>
        <v>3.8294069999999998</v>
      </c>
      <c r="P964" t="str">
        <f>[1]Sheet4!B379</f>
        <v> 3.76384425163269</v>
      </c>
      <c r="Q964" t="str">
        <f>[1]Sheet4!C379</f>
        <v>  4.49188184738159</v>
      </c>
      <c r="R964" t="str">
        <f>[1]Sheet4!D379</f>
        <v>    4.61282348632813</v>
      </c>
      <c r="S964" t="str">
        <f>[1]Sheet4!E379</f>
        <v>  5.78508758544922</v>
      </c>
    </row>
    <row r="965" spans="1:19" x14ac:dyDescent="0.35">
      <c r="A965" s="4"/>
      <c r="G965" s="1"/>
      <c r="H965" s="13">
        <v>3</v>
      </c>
      <c r="I965" s="13" t="s">
        <v>3</v>
      </c>
      <c r="J965" s="13" t="s">
        <v>0</v>
      </c>
      <c r="L965" s="13">
        <f>Y957</f>
        <v>2.8499099999999999</v>
      </c>
      <c r="P965" t="str">
        <f>[1]Sheet4!B380</f>
        <v> 3.55693173408508</v>
      </c>
      <c r="Q965" t="str">
        <f>[1]Sheet4!C380</f>
        <v>  3.92032647132874</v>
      </c>
      <c r="R965" t="str">
        <f>[1]Sheet4!D380</f>
        <v>    3.76453733444214</v>
      </c>
      <c r="S965" t="str">
        <f>[1]Sheet4!E380</f>
        <v>  4.50439023971558</v>
      </c>
    </row>
    <row r="966" spans="1:19" x14ac:dyDescent="0.35">
      <c r="A966" s="4"/>
      <c r="G966" s="1"/>
      <c r="H966" s="13">
        <v>3</v>
      </c>
      <c r="I966" s="13" t="s">
        <v>3</v>
      </c>
      <c r="J966" s="13" t="s">
        <v>2</v>
      </c>
      <c r="L966" s="13">
        <f>Y958</f>
        <v>2.9598689999999999</v>
      </c>
      <c r="P966" t="str">
        <f>[1]Sheet4!B381</f>
        <v> 2.93717384338379</v>
      </c>
      <c r="Q966" t="str">
        <f>[1]Sheet4!C381</f>
        <v>  3.38282299041748</v>
      </c>
      <c r="R966" t="str">
        <f>[1]Sheet4!D381</f>
        <v>    2.75321292877197</v>
      </c>
      <c r="S966" t="str">
        <f>[1]Sheet4!E381</f>
        <v>  3.03926944732666</v>
      </c>
    </row>
    <row r="967" spans="1:19" x14ac:dyDescent="0.35">
      <c r="A967" s="4"/>
      <c r="G967" s="1"/>
      <c r="H967" s="13">
        <v>3</v>
      </c>
      <c r="I967" s="13" t="s">
        <v>1</v>
      </c>
      <c r="J967" s="13" t="s">
        <v>0</v>
      </c>
      <c r="L967" s="13">
        <f>Y959</f>
        <v>3.759544</v>
      </c>
    </row>
    <row r="968" spans="1:19" x14ac:dyDescent="0.35">
      <c r="A968" s="4"/>
      <c r="G968" s="1"/>
      <c r="H968" s="13">
        <v>3</v>
      </c>
      <c r="I968" s="13" t="s">
        <v>1</v>
      </c>
      <c r="J968" s="13" t="s">
        <v>2</v>
      </c>
      <c r="L968" s="13">
        <f>Y960</f>
        <v>3.968391</v>
      </c>
    </row>
    <row r="969" spans="1:19" x14ac:dyDescent="0.35">
      <c r="A969" s="4"/>
      <c r="G969" s="1"/>
      <c r="H969" s="13">
        <v>4</v>
      </c>
      <c r="I969" s="13" t="s">
        <v>3</v>
      </c>
      <c r="J969" s="13" t="s">
        <v>0</v>
      </c>
      <c r="L969" s="13">
        <f>Z957</f>
        <v>3.3955449999999998</v>
      </c>
    </row>
    <row r="970" spans="1:19" x14ac:dyDescent="0.35">
      <c r="A970" s="4"/>
      <c r="G970" s="1"/>
      <c r="H970" s="13">
        <v>4</v>
      </c>
      <c r="I970" s="13" t="s">
        <v>3</v>
      </c>
      <c r="J970" s="13" t="s">
        <v>2</v>
      </c>
      <c r="L970" s="13">
        <f>Z958</f>
        <v>3.483228</v>
      </c>
    </row>
    <row r="971" spans="1:19" x14ac:dyDescent="0.35">
      <c r="A971" s="4"/>
      <c r="G971" s="1"/>
      <c r="H971" s="13">
        <v>4</v>
      </c>
      <c r="I971" s="13" t="s">
        <v>1</v>
      </c>
      <c r="J971" s="13" t="s">
        <v>0</v>
      </c>
      <c r="L971" s="13">
        <f>Z959</f>
        <v>3.591269</v>
      </c>
    </row>
    <row r="972" spans="1:19" x14ac:dyDescent="0.35">
      <c r="A972" s="4"/>
      <c r="G972" s="1"/>
      <c r="H972" s="13">
        <v>4</v>
      </c>
      <c r="I972" s="13" t="s">
        <v>1</v>
      </c>
      <c r="J972" s="13" t="s">
        <v>2</v>
      </c>
      <c r="L972" s="13">
        <f>Z960</f>
        <v>3.677556</v>
      </c>
    </row>
    <row r="973" spans="1:19" x14ac:dyDescent="0.35">
      <c r="A973" s="4"/>
      <c r="G973" s="1"/>
      <c r="H973" s="13">
        <v>5</v>
      </c>
      <c r="I973" s="13" t="s">
        <v>3</v>
      </c>
      <c r="J973" s="13" t="s">
        <v>0</v>
      </c>
      <c r="L973" s="13">
        <f>AA957</f>
        <v>3.119729</v>
      </c>
    </row>
    <row r="974" spans="1:19" x14ac:dyDescent="0.35">
      <c r="A974" s="4"/>
      <c r="G974" s="1"/>
      <c r="H974" s="13">
        <v>5</v>
      </c>
      <c r="I974" s="13" t="s">
        <v>3</v>
      </c>
      <c r="J974" s="13" t="s">
        <v>2</v>
      </c>
      <c r="L974" s="13">
        <f>AA958</f>
        <v>3.3844660000000002</v>
      </c>
    </row>
    <row r="975" spans="1:19" x14ac:dyDescent="0.35">
      <c r="A975" s="4"/>
      <c r="G975" s="1"/>
      <c r="H975" s="13">
        <v>5</v>
      </c>
      <c r="I975" s="13" t="s">
        <v>1</v>
      </c>
      <c r="J975" s="13" t="s">
        <v>0</v>
      </c>
      <c r="L975" s="13">
        <f>AA959</f>
        <v>3.7532480000000001</v>
      </c>
    </row>
    <row r="976" spans="1:19" x14ac:dyDescent="0.35">
      <c r="A976" s="4"/>
      <c r="G976" s="1"/>
      <c r="H976" s="13">
        <v>5</v>
      </c>
      <c r="I976" s="13" t="s">
        <v>1</v>
      </c>
      <c r="J976" s="13" t="s">
        <v>2</v>
      </c>
      <c r="L976" s="13">
        <f>AA960</f>
        <v>3.8615339999999998</v>
      </c>
    </row>
    <row r="977" spans="1:12" x14ac:dyDescent="0.35">
      <c r="A977" s="4"/>
      <c r="G977" s="1"/>
      <c r="H977" s="13">
        <v>6</v>
      </c>
      <c r="I977" s="13" t="s">
        <v>3</v>
      </c>
      <c r="J977" s="13" t="s">
        <v>0</v>
      </c>
      <c r="L977" s="13">
        <f>AB957</f>
        <v>3.0977670000000002</v>
      </c>
    </row>
    <row r="978" spans="1:12" x14ac:dyDescent="0.35">
      <c r="A978" s="4"/>
      <c r="G978" s="1"/>
      <c r="H978" s="13">
        <v>6</v>
      </c>
      <c r="I978" s="13" t="s">
        <v>3</v>
      </c>
      <c r="J978" s="13" t="s">
        <v>2</v>
      </c>
      <c r="L978" s="13">
        <f>AB958</f>
        <v>3.2142059999999999</v>
      </c>
    </row>
    <row r="979" spans="1:12" x14ac:dyDescent="0.35">
      <c r="A979" s="4"/>
      <c r="G979" s="1"/>
      <c r="H979" s="13">
        <v>6</v>
      </c>
      <c r="I979" s="13" t="s">
        <v>1</v>
      </c>
      <c r="J979" s="13" t="s">
        <v>0</v>
      </c>
      <c r="L979" s="13">
        <f>AB959</f>
        <v>3.4906779999999999</v>
      </c>
    </row>
    <row r="980" spans="1:12" x14ac:dyDescent="0.35">
      <c r="A980" s="4"/>
      <c r="G980" s="1"/>
      <c r="H980" s="13">
        <v>6</v>
      </c>
      <c r="I980" s="13" t="s">
        <v>1</v>
      </c>
      <c r="J980" s="13" t="s">
        <v>2</v>
      </c>
      <c r="L980" s="13">
        <f>AB960</f>
        <v>3.8409960000000001</v>
      </c>
    </row>
    <row r="981" spans="1:12" x14ac:dyDescent="0.35">
      <c r="A981" s="4"/>
      <c r="G981" s="1"/>
      <c r="H981" s="13">
        <v>7</v>
      </c>
      <c r="I981" s="13" t="s">
        <v>3</v>
      </c>
      <c r="J981" s="13" t="s">
        <v>0</v>
      </c>
      <c r="L981" s="13">
        <f>AC957</f>
        <v>2.995028</v>
      </c>
    </row>
    <row r="982" spans="1:12" x14ac:dyDescent="0.35">
      <c r="A982" s="4"/>
      <c r="G982" s="1"/>
      <c r="H982" s="13">
        <v>7</v>
      </c>
      <c r="I982" s="13" t="s">
        <v>3</v>
      </c>
      <c r="J982" s="13" t="s">
        <v>2</v>
      </c>
      <c r="L982" s="13">
        <f>AC958</f>
        <v>3.213714</v>
      </c>
    </row>
    <row r="983" spans="1:12" x14ac:dyDescent="0.35">
      <c r="A983" s="4"/>
      <c r="G983" s="1"/>
      <c r="H983" s="13">
        <v>7</v>
      </c>
      <c r="I983" s="13" t="s">
        <v>1</v>
      </c>
      <c r="J983" s="13" t="s">
        <v>0</v>
      </c>
      <c r="L983" s="13">
        <f>AC959</f>
        <v>3.28382</v>
      </c>
    </row>
    <row r="984" spans="1:12" x14ac:dyDescent="0.35">
      <c r="A984" s="4"/>
      <c r="G984" s="1"/>
      <c r="H984" s="13">
        <v>7</v>
      </c>
      <c r="I984" s="13" t="s">
        <v>1</v>
      </c>
      <c r="J984" s="13" t="s">
        <v>2</v>
      </c>
      <c r="L984" s="13">
        <f>AC960</f>
        <v>3.945411</v>
      </c>
    </row>
    <row r="985" spans="1:12" x14ac:dyDescent="0.35">
      <c r="A985" s="4"/>
      <c r="G985" s="1"/>
      <c r="H985" s="13">
        <v>8</v>
      </c>
      <c r="I985" s="13" t="s">
        <v>3</v>
      </c>
      <c r="J985" s="13" t="s">
        <v>0</v>
      </c>
      <c r="L985" s="13">
        <f>AD957</f>
        <v>2.8115960000000002</v>
      </c>
    </row>
    <row r="986" spans="1:12" x14ac:dyDescent="0.35">
      <c r="A986" s="4"/>
      <c r="G986" s="1"/>
      <c r="H986" s="13">
        <v>8</v>
      </c>
      <c r="I986" s="13" t="s">
        <v>3</v>
      </c>
      <c r="J986" s="13" t="s">
        <v>2</v>
      </c>
      <c r="L986" s="13">
        <f>AD958</f>
        <v>3.189457</v>
      </c>
    </row>
    <row r="987" spans="1:12" x14ac:dyDescent="0.35">
      <c r="A987" s="4"/>
      <c r="G987" s="1"/>
      <c r="H987" s="13">
        <v>8</v>
      </c>
      <c r="I987" s="13" t="s">
        <v>1</v>
      </c>
      <c r="J987" s="13" t="s">
        <v>0</v>
      </c>
      <c r="L987" s="13">
        <f>AD959</f>
        <v>3.3078270000000001</v>
      </c>
    </row>
    <row r="988" spans="1:12" x14ac:dyDescent="0.35">
      <c r="A988" s="4"/>
      <c r="G988" s="1"/>
      <c r="H988" s="13">
        <v>8</v>
      </c>
      <c r="I988" s="13" t="s">
        <v>1</v>
      </c>
      <c r="J988" s="13" t="s">
        <v>2</v>
      </c>
      <c r="L988" s="13">
        <f>AD960</f>
        <v>3.8948680000000002</v>
      </c>
    </row>
    <row r="989" spans="1:12" x14ac:dyDescent="0.35">
      <c r="A989" s="4"/>
      <c r="G989" s="1"/>
      <c r="H989" s="13">
        <v>9</v>
      </c>
      <c r="I989" s="13" t="s">
        <v>3</v>
      </c>
      <c r="J989" s="13" t="s">
        <v>0</v>
      </c>
      <c r="L989" s="13">
        <f>AE957</f>
        <v>2.6393759999999999</v>
      </c>
    </row>
    <row r="990" spans="1:12" x14ac:dyDescent="0.35">
      <c r="A990" s="4"/>
      <c r="G990" s="1"/>
      <c r="H990" s="13">
        <v>9</v>
      </c>
      <c r="I990" s="13" t="s">
        <v>3</v>
      </c>
      <c r="J990" s="13" t="s">
        <v>2</v>
      </c>
      <c r="L990" s="13">
        <f>AE958</f>
        <v>2.7158549999999999</v>
      </c>
    </row>
    <row r="991" spans="1:12" x14ac:dyDescent="0.35">
      <c r="A991" s="4"/>
      <c r="G991" s="1"/>
      <c r="H991" s="13">
        <v>9</v>
      </c>
      <c r="I991" s="13" t="s">
        <v>1</v>
      </c>
      <c r="J991" s="13" t="s">
        <v>0</v>
      </c>
      <c r="L991" s="13">
        <f>AE959</f>
        <v>2.6138319999999999</v>
      </c>
    </row>
    <row r="992" spans="1:12" x14ac:dyDescent="0.35">
      <c r="A992" s="4"/>
      <c r="G992" s="1"/>
      <c r="H992" s="13">
        <v>9</v>
      </c>
      <c r="I992" s="13" t="s">
        <v>1</v>
      </c>
      <c r="J992" s="13" t="s">
        <v>2</v>
      </c>
      <c r="L992" s="13">
        <f>AE960</f>
        <v>2.869497</v>
      </c>
    </row>
    <row r="993" spans="1:32" x14ac:dyDescent="0.35">
      <c r="A993" s="4"/>
      <c r="G993" s="1"/>
      <c r="H993" s="13">
        <v>10</v>
      </c>
      <c r="I993" s="13" t="s">
        <v>3</v>
      </c>
      <c r="J993" s="13" t="s">
        <v>0</v>
      </c>
      <c r="L993" s="13">
        <f>AF957</f>
        <v>2.2726030000000002</v>
      </c>
    </row>
    <row r="994" spans="1:32" x14ac:dyDescent="0.35">
      <c r="A994" s="4"/>
      <c r="G994" s="1"/>
      <c r="H994" s="13">
        <v>10</v>
      </c>
      <c r="I994" s="13" t="s">
        <v>3</v>
      </c>
      <c r="J994" s="13" t="s">
        <v>2</v>
      </c>
      <c r="L994" s="13">
        <f t="shared" ref="L994:L996" si="22">AF958</f>
        <v>2.5178560000000001</v>
      </c>
    </row>
    <row r="995" spans="1:32" x14ac:dyDescent="0.35">
      <c r="A995" s="4"/>
      <c r="G995" s="1"/>
      <c r="H995" s="13">
        <v>10</v>
      </c>
      <c r="I995" s="13" t="s">
        <v>1</v>
      </c>
      <c r="J995" s="13" t="s">
        <v>0</v>
      </c>
      <c r="L995" s="13">
        <f t="shared" si="22"/>
        <v>2.0233189999999999</v>
      </c>
    </row>
    <row r="996" spans="1:32" x14ac:dyDescent="0.35">
      <c r="A996" s="4"/>
      <c r="G996" s="1"/>
      <c r="H996" s="13">
        <v>10</v>
      </c>
      <c r="I996" s="13" t="s">
        <v>1</v>
      </c>
      <c r="J996" s="13" t="s">
        <v>2</v>
      </c>
      <c r="L996" s="13">
        <f t="shared" si="22"/>
        <v>2.2119800000000001</v>
      </c>
    </row>
    <row r="997" spans="1:32" x14ac:dyDescent="0.35">
      <c r="A997" s="4" t="s">
        <v>14</v>
      </c>
      <c r="D997" t="s">
        <v>13</v>
      </c>
      <c r="E997" t="s">
        <v>12</v>
      </c>
      <c r="F997" t="s">
        <v>11</v>
      </c>
      <c r="G997" s="1">
        <v>40</v>
      </c>
      <c r="H997" s="13">
        <v>1</v>
      </c>
      <c r="I997" s="13" t="s">
        <v>3</v>
      </c>
      <c r="J997" s="13" t="s">
        <v>0</v>
      </c>
      <c r="L997" s="13">
        <f>W997</f>
        <v>2.1841689999999998</v>
      </c>
      <c r="P997" t="str">
        <f>[1]Sheet4!B392</f>
        <v> 2.670766</v>
      </c>
      <c r="Q997" t="str">
        <f>[1]Sheet4!C392</f>
        <v>  2.774083</v>
      </c>
      <c r="R997" t="str">
        <f>[1]Sheet4!D392</f>
        <v>    3.344862</v>
      </c>
      <c r="S997" t="str">
        <f>[1]Sheet4!E392</f>
        <v>  3.305785</v>
      </c>
      <c r="W997">
        <v>2.1841689999999998</v>
      </c>
      <c r="X997">
        <v>2.5937260000000002</v>
      </c>
      <c r="Y997">
        <v>2.4593579999999999</v>
      </c>
      <c r="Z997">
        <v>2.6940930000000001</v>
      </c>
      <c r="AA997">
        <v>2.4427620000000001</v>
      </c>
      <c r="AB997">
        <v>2.39676</v>
      </c>
      <c r="AC997">
        <v>2.3045059999999999</v>
      </c>
      <c r="AD997">
        <v>2.1823290000000002</v>
      </c>
      <c r="AE997">
        <v>2.0794269999999999</v>
      </c>
      <c r="AF997">
        <v>1.8116730000000001</v>
      </c>
    </row>
    <row r="998" spans="1:32" x14ac:dyDescent="0.35">
      <c r="A998" s="4"/>
      <c r="G998" s="1"/>
      <c r="H998" s="13">
        <v>1</v>
      </c>
      <c r="I998" s="13" t="s">
        <v>3</v>
      </c>
      <c r="J998" s="13" t="s">
        <v>2</v>
      </c>
      <c r="L998" s="13">
        <f>W998</f>
        <v>2.3736329999999999</v>
      </c>
      <c r="P998" t="str">
        <f>[1]Sheet4!B393</f>
        <v> 3.178679</v>
      </c>
      <c r="Q998" t="str">
        <f>[1]Sheet4!C393</f>
        <v>  3.235334</v>
      </c>
      <c r="R998" t="str">
        <f>[1]Sheet4!D393</f>
        <v>    3.759456</v>
      </c>
      <c r="S998" t="str">
        <f>[1]Sheet4!E393</f>
        <v>  3.829407</v>
      </c>
      <c r="W998">
        <v>2.3736329999999999</v>
      </c>
      <c r="X998">
        <v>2.7282229999999998</v>
      </c>
      <c r="Y998">
        <v>2.581528</v>
      </c>
      <c r="Z998">
        <v>2.8159459999999998</v>
      </c>
      <c r="AA998">
        <v>2.6779500000000001</v>
      </c>
      <c r="AB998">
        <v>2.513925</v>
      </c>
      <c r="AC998">
        <v>2.5011679999999998</v>
      </c>
      <c r="AD998">
        <v>2.4591940000000001</v>
      </c>
      <c r="AE998">
        <v>2.1735669999999998</v>
      </c>
      <c r="AF998">
        <v>1.968769</v>
      </c>
    </row>
    <row r="999" spans="1:32" x14ac:dyDescent="0.35">
      <c r="A999" s="4"/>
      <c r="G999" s="1"/>
      <c r="H999" s="13">
        <v>1</v>
      </c>
      <c r="I999" s="13" t="s">
        <v>1</v>
      </c>
      <c r="J999" s="13" t="s">
        <v>0</v>
      </c>
      <c r="L999" s="13">
        <f>W999</f>
        <v>2.831429</v>
      </c>
      <c r="P999" t="str">
        <f>[1]Sheet4!B394</f>
        <v>  2.84991</v>
      </c>
      <c r="Q999" t="str">
        <f>[1]Sheet4!C394</f>
        <v>  2.959869</v>
      </c>
      <c r="R999" t="str">
        <f>[1]Sheet4!D394</f>
        <v>    3.759544</v>
      </c>
      <c r="S999" t="str">
        <f>[1]Sheet4!E394</f>
        <v>  3.968391</v>
      </c>
      <c r="W999">
        <v>2.831429</v>
      </c>
      <c r="X999">
        <v>3.1873459999999998</v>
      </c>
      <c r="Y999">
        <v>3.166884</v>
      </c>
      <c r="Z999">
        <v>2.8868680000000002</v>
      </c>
      <c r="AA999">
        <v>2.9710619999999999</v>
      </c>
      <c r="AB999">
        <v>2.7034940000000001</v>
      </c>
      <c r="AC999">
        <v>2.4965039999999998</v>
      </c>
      <c r="AD999">
        <v>2.4675240000000001</v>
      </c>
      <c r="AE999">
        <v>2.1378409999999999</v>
      </c>
      <c r="AF999">
        <v>1.609057</v>
      </c>
    </row>
    <row r="1000" spans="1:32" x14ac:dyDescent="0.35">
      <c r="A1000" s="4"/>
      <c r="G1000" s="1"/>
      <c r="H1000" s="13">
        <v>1</v>
      </c>
      <c r="I1000" s="13" t="s">
        <v>1</v>
      </c>
      <c r="J1000" s="13" t="s">
        <v>2</v>
      </c>
      <c r="L1000" s="13">
        <f>W1000</f>
        <v>2.893383</v>
      </c>
      <c r="P1000" t="str">
        <f>[1]Sheet4!B395</f>
        <v> 3.395545</v>
      </c>
      <c r="Q1000" t="str">
        <f>[1]Sheet4!C395</f>
        <v>  3.483228</v>
      </c>
      <c r="R1000" t="str">
        <f>[1]Sheet4!D395</f>
        <v>    3.591269</v>
      </c>
      <c r="S1000" t="str">
        <f>[1]Sheet4!E395</f>
        <v>  3.677556</v>
      </c>
      <c r="W1000">
        <v>2.893383</v>
      </c>
      <c r="X1000">
        <v>3.3249170000000001</v>
      </c>
      <c r="Y1000">
        <v>3.3774009999999999</v>
      </c>
      <c r="Z1000">
        <v>3.061998</v>
      </c>
      <c r="AA1000">
        <v>3.1546729999999998</v>
      </c>
      <c r="AB1000">
        <v>2.9966699999999999</v>
      </c>
      <c r="AC1000">
        <v>2.9641440000000001</v>
      </c>
      <c r="AD1000">
        <v>2.95845</v>
      </c>
      <c r="AE1000">
        <v>2.419705</v>
      </c>
      <c r="AF1000">
        <v>1.7728820000000001</v>
      </c>
    </row>
    <row r="1001" spans="1:32" x14ac:dyDescent="0.35">
      <c r="A1001" s="4"/>
      <c r="G1001" s="1"/>
      <c r="H1001" s="13">
        <v>2</v>
      </c>
      <c r="I1001" s="13" t="s">
        <v>3</v>
      </c>
      <c r="J1001" s="13" t="s">
        <v>0</v>
      </c>
      <c r="L1001" s="13">
        <f>X997</f>
        <v>2.5937260000000002</v>
      </c>
      <c r="P1001" t="str">
        <f>[1]Sheet4!B396</f>
        <v> 3.119729</v>
      </c>
      <c r="Q1001" t="str">
        <f>[1]Sheet4!C396</f>
        <v>  3.384466</v>
      </c>
      <c r="R1001" t="str">
        <f>[1]Sheet4!D396</f>
        <v>    3.753248</v>
      </c>
      <c r="S1001" t="str">
        <f>[1]Sheet4!E396</f>
        <v>  3.861534</v>
      </c>
    </row>
    <row r="1002" spans="1:32" x14ac:dyDescent="0.35">
      <c r="A1002" s="4"/>
      <c r="G1002" s="1"/>
      <c r="H1002" s="13">
        <v>2</v>
      </c>
      <c r="I1002" s="13" t="s">
        <v>3</v>
      </c>
      <c r="J1002" s="13" t="s">
        <v>2</v>
      </c>
      <c r="L1002" s="13">
        <f>X998</f>
        <v>2.7282229999999998</v>
      </c>
      <c r="P1002" t="str">
        <f>[1]Sheet4!B397</f>
        <v> 3.097767</v>
      </c>
      <c r="Q1002" t="str">
        <f>[1]Sheet4!C397</f>
        <v>  3.214206</v>
      </c>
      <c r="R1002" t="str">
        <f>[1]Sheet4!D397</f>
        <v>    3.490678</v>
      </c>
      <c r="S1002" t="str">
        <f>[1]Sheet4!E397</f>
        <v>  3.840996</v>
      </c>
    </row>
    <row r="1003" spans="1:32" x14ac:dyDescent="0.35">
      <c r="A1003" s="4"/>
      <c r="G1003" s="1"/>
      <c r="H1003" s="13">
        <v>2</v>
      </c>
      <c r="I1003" s="13" t="s">
        <v>1</v>
      </c>
      <c r="J1003" s="13" t="s">
        <v>0</v>
      </c>
      <c r="L1003" s="13">
        <f>X999</f>
        <v>3.1873459999999998</v>
      </c>
      <c r="P1003" t="str">
        <f>[1]Sheet4!B398</f>
        <v> 2.995028</v>
      </c>
      <c r="Q1003" t="str">
        <f>[1]Sheet4!C398</f>
        <v>  3.213714</v>
      </c>
      <c r="R1003" t="str">
        <f>[1]Sheet4!D398</f>
        <v>     3.28382</v>
      </c>
      <c r="S1003" t="str">
        <f>[1]Sheet4!E398</f>
        <v>  3.945411</v>
      </c>
    </row>
    <row r="1004" spans="1:32" x14ac:dyDescent="0.35">
      <c r="A1004" s="4"/>
      <c r="G1004" s="1"/>
      <c r="H1004" s="13">
        <v>2</v>
      </c>
      <c r="I1004" s="13" t="s">
        <v>1</v>
      </c>
      <c r="J1004" s="13" t="s">
        <v>2</v>
      </c>
      <c r="L1004" s="13">
        <f>X1000</f>
        <v>3.3249170000000001</v>
      </c>
      <c r="P1004" t="str">
        <f>[1]Sheet4!B399</f>
        <v> 2.811596</v>
      </c>
      <c r="Q1004" t="str">
        <f>[1]Sheet4!C399</f>
        <v>  3.189457</v>
      </c>
      <c r="R1004" t="str">
        <f>[1]Sheet4!D399</f>
        <v>    3.307827</v>
      </c>
      <c r="S1004" t="str">
        <f>[1]Sheet4!E399</f>
        <v>  3.894868</v>
      </c>
    </row>
    <row r="1005" spans="1:32" x14ac:dyDescent="0.35">
      <c r="A1005" s="4"/>
      <c r="G1005" s="1"/>
      <c r="H1005" s="13">
        <v>3</v>
      </c>
      <c r="I1005" s="13" t="s">
        <v>3</v>
      </c>
      <c r="J1005" s="13" t="s">
        <v>0</v>
      </c>
      <c r="L1005" s="13">
        <f>Y997</f>
        <v>2.4593579999999999</v>
      </c>
      <c r="P1005" t="str">
        <f>[1]Sheet4!B400</f>
        <v> 2.639376</v>
      </c>
      <c r="Q1005" t="str">
        <f>[1]Sheet4!C400</f>
        <v>  2.715855</v>
      </c>
      <c r="R1005" t="str">
        <f>[1]Sheet4!D400</f>
        <v>    2.613832</v>
      </c>
      <c r="S1005" t="str">
        <f>[1]Sheet4!E400</f>
        <v>  2.869497</v>
      </c>
    </row>
    <row r="1006" spans="1:32" x14ac:dyDescent="0.35">
      <c r="A1006" s="4"/>
      <c r="G1006" s="1"/>
      <c r="H1006" s="13">
        <v>3</v>
      </c>
      <c r="I1006" s="13" t="s">
        <v>3</v>
      </c>
      <c r="J1006" s="13" t="s">
        <v>2</v>
      </c>
      <c r="L1006" s="13">
        <f>Y998</f>
        <v>2.581528</v>
      </c>
      <c r="P1006" t="str">
        <f>[1]Sheet4!B401</f>
        <v> 2.272603</v>
      </c>
      <c r="Q1006" t="str">
        <f>[1]Sheet4!C401</f>
        <v>  2.517856</v>
      </c>
      <c r="R1006" t="str">
        <f>[1]Sheet4!D401</f>
        <v>    2.023319</v>
      </c>
      <c r="S1006" t="str">
        <f>[1]Sheet4!E401</f>
        <v>   2.21198</v>
      </c>
    </row>
    <row r="1007" spans="1:32" x14ac:dyDescent="0.35">
      <c r="A1007" s="4"/>
      <c r="G1007" s="1"/>
      <c r="H1007" s="13">
        <v>3</v>
      </c>
      <c r="I1007" s="13" t="s">
        <v>1</v>
      </c>
      <c r="J1007" s="13" t="s">
        <v>0</v>
      </c>
      <c r="L1007" s="13">
        <f>Y999</f>
        <v>3.166884</v>
      </c>
    </row>
    <row r="1008" spans="1:32" x14ac:dyDescent="0.35">
      <c r="A1008" s="4"/>
      <c r="G1008" s="1"/>
      <c r="H1008" s="13">
        <v>3</v>
      </c>
      <c r="I1008" s="13" t="s">
        <v>1</v>
      </c>
      <c r="J1008" s="13" t="s">
        <v>2</v>
      </c>
      <c r="L1008" s="13">
        <f>Y1000</f>
        <v>3.3774009999999999</v>
      </c>
    </row>
    <row r="1009" spans="1:12" x14ac:dyDescent="0.35">
      <c r="A1009" s="4"/>
      <c r="G1009" s="1"/>
      <c r="H1009" s="13">
        <v>4</v>
      </c>
      <c r="I1009" s="13" t="s">
        <v>3</v>
      </c>
      <c r="J1009" s="13" t="s">
        <v>0</v>
      </c>
      <c r="L1009" s="13">
        <f>Z997</f>
        <v>2.6940930000000001</v>
      </c>
    </row>
    <row r="1010" spans="1:12" x14ac:dyDescent="0.35">
      <c r="A1010" s="4"/>
      <c r="G1010" s="1"/>
      <c r="H1010" s="13">
        <v>4</v>
      </c>
      <c r="I1010" s="13" t="s">
        <v>3</v>
      </c>
      <c r="J1010" s="13" t="s">
        <v>2</v>
      </c>
      <c r="L1010" s="13">
        <f>Z998</f>
        <v>2.8159459999999998</v>
      </c>
    </row>
    <row r="1011" spans="1:12" x14ac:dyDescent="0.35">
      <c r="A1011" s="4"/>
      <c r="G1011" s="1"/>
      <c r="H1011" s="13">
        <v>4</v>
      </c>
      <c r="I1011" s="13" t="s">
        <v>1</v>
      </c>
      <c r="J1011" s="13" t="s">
        <v>0</v>
      </c>
      <c r="L1011" s="13">
        <f>Z999</f>
        <v>2.8868680000000002</v>
      </c>
    </row>
    <row r="1012" spans="1:12" x14ac:dyDescent="0.35">
      <c r="A1012" s="4"/>
      <c r="G1012" s="1"/>
      <c r="H1012" s="13">
        <v>4</v>
      </c>
      <c r="I1012" s="13" t="s">
        <v>1</v>
      </c>
      <c r="J1012" s="13" t="s">
        <v>2</v>
      </c>
      <c r="L1012" s="13">
        <f>Z1000</f>
        <v>3.061998</v>
      </c>
    </row>
    <row r="1013" spans="1:12" x14ac:dyDescent="0.35">
      <c r="A1013" s="4"/>
      <c r="G1013" s="1"/>
      <c r="H1013" s="13">
        <v>5</v>
      </c>
      <c r="I1013" s="13" t="s">
        <v>3</v>
      </c>
      <c r="J1013" s="13" t="s">
        <v>0</v>
      </c>
      <c r="L1013" s="13">
        <f>AA997</f>
        <v>2.4427620000000001</v>
      </c>
    </row>
    <row r="1014" spans="1:12" x14ac:dyDescent="0.35">
      <c r="A1014" s="4"/>
      <c r="G1014" s="1"/>
      <c r="H1014" s="13">
        <v>5</v>
      </c>
      <c r="I1014" s="13" t="s">
        <v>3</v>
      </c>
      <c r="J1014" s="13" t="s">
        <v>2</v>
      </c>
      <c r="L1014" s="13">
        <f>AA998</f>
        <v>2.6779500000000001</v>
      </c>
    </row>
    <row r="1015" spans="1:12" x14ac:dyDescent="0.35">
      <c r="A1015" s="4"/>
      <c r="G1015" s="1"/>
      <c r="H1015" s="13">
        <v>5</v>
      </c>
      <c r="I1015" s="13" t="s">
        <v>1</v>
      </c>
      <c r="J1015" s="13" t="s">
        <v>0</v>
      </c>
      <c r="L1015" s="13">
        <f>AA999</f>
        <v>2.9710619999999999</v>
      </c>
    </row>
    <row r="1016" spans="1:12" x14ac:dyDescent="0.35">
      <c r="A1016" s="4"/>
      <c r="G1016" s="1"/>
      <c r="H1016" s="13">
        <v>5</v>
      </c>
      <c r="I1016" s="13" t="s">
        <v>1</v>
      </c>
      <c r="J1016" s="13" t="s">
        <v>2</v>
      </c>
      <c r="L1016" s="13">
        <f>AA1000</f>
        <v>3.1546729999999998</v>
      </c>
    </row>
    <row r="1017" spans="1:12" x14ac:dyDescent="0.35">
      <c r="A1017" s="4"/>
      <c r="G1017" s="1"/>
      <c r="H1017" s="13">
        <v>6</v>
      </c>
      <c r="I1017" s="13" t="s">
        <v>3</v>
      </c>
      <c r="J1017" s="13" t="s">
        <v>0</v>
      </c>
      <c r="L1017" s="13">
        <f>AB997</f>
        <v>2.39676</v>
      </c>
    </row>
    <row r="1018" spans="1:12" x14ac:dyDescent="0.35">
      <c r="A1018" s="4"/>
      <c r="G1018" s="1"/>
      <c r="H1018" s="13">
        <v>6</v>
      </c>
      <c r="I1018" s="13" t="s">
        <v>3</v>
      </c>
      <c r="J1018" s="13" t="s">
        <v>2</v>
      </c>
      <c r="L1018" s="13">
        <f>AB998</f>
        <v>2.513925</v>
      </c>
    </row>
    <row r="1019" spans="1:12" x14ac:dyDescent="0.35">
      <c r="A1019" s="4"/>
      <c r="G1019" s="1"/>
      <c r="H1019" s="13">
        <v>6</v>
      </c>
      <c r="I1019" s="13" t="s">
        <v>1</v>
      </c>
      <c r="J1019" s="13" t="s">
        <v>0</v>
      </c>
      <c r="L1019" s="13">
        <f>AB999</f>
        <v>2.7034940000000001</v>
      </c>
    </row>
    <row r="1020" spans="1:12" x14ac:dyDescent="0.35">
      <c r="A1020" s="4"/>
      <c r="G1020" s="1"/>
      <c r="H1020" s="13">
        <v>6</v>
      </c>
      <c r="I1020" s="13" t="s">
        <v>1</v>
      </c>
      <c r="J1020" s="13" t="s">
        <v>2</v>
      </c>
      <c r="L1020" s="13">
        <f>AB1000</f>
        <v>2.9966699999999999</v>
      </c>
    </row>
    <row r="1021" spans="1:12" x14ac:dyDescent="0.35">
      <c r="A1021" s="4"/>
      <c r="G1021" s="1"/>
      <c r="H1021" s="13">
        <v>7</v>
      </c>
      <c r="I1021" s="13" t="s">
        <v>3</v>
      </c>
      <c r="J1021" s="13" t="s">
        <v>0</v>
      </c>
      <c r="L1021" s="13">
        <f>AC997</f>
        <v>2.3045059999999999</v>
      </c>
    </row>
    <row r="1022" spans="1:12" x14ac:dyDescent="0.35">
      <c r="A1022" s="4"/>
      <c r="G1022" s="1"/>
      <c r="H1022" s="13">
        <v>7</v>
      </c>
      <c r="I1022" s="13" t="s">
        <v>3</v>
      </c>
      <c r="J1022" s="13" t="s">
        <v>2</v>
      </c>
      <c r="L1022" s="13">
        <f>AC998</f>
        <v>2.5011679999999998</v>
      </c>
    </row>
    <row r="1023" spans="1:12" x14ac:dyDescent="0.35">
      <c r="A1023" s="4"/>
      <c r="G1023" s="1"/>
      <c r="H1023" s="13">
        <v>7</v>
      </c>
      <c r="I1023" s="13" t="s">
        <v>1</v>
      </c>
      <c r="J1023" s="13" t="s">
        <v>0</v>
      </c>
      <c r="L1023" s="13">
        <f>AC999</f>
        <v>2.4965039999999998</v>
      </c>
    </row>
    <row r="1024" spans="1:12" x14ac:dyDescent="0.35">
      <c r="A1024" s="4"/>
      <c r="G1024" s="1"/>
      <c r="H1024" s="13">
        <v>7</v>
      </c>
      <c r="I1024" s="13" t="s">
        <v>1</v>
      </c>
      <c r="J1024" s="13" t="s">
        <v>2</v>
      </c>
      <c r="L1024" s="13">
        <f>AC1000</f>
        <v>2.9641440000000001</v>
      </c>
    </row>
    <row r="1025" spans="1:12" x14ac:dyDescent="0.35">
      <c r="A1025" s="4"/>
      <c r="G1025" s="1"/>
      <c r="H1025" s="13">
        <v>8</v>
      </c>
      <c r="I1025" s="13" t="s">
        <v>3</v>
      </c>
      <c r="J1025" s="13" t="s">
        <v>0</v>
      </c>
      <c r="L1025" s="13">
        <f>AD997</f>
        <v>2.1823290000000002</v>
      </c>
    </row>
    <row r="1026" spans="1:12" x14ac:dyDescent="0.35">
      <c r="A1026" s="4"/>
      <c r="G1026" s="1"/>
      <c r="H1026" s="13">
        <v>8</v>
      </c>
      <c r="I1026" s="13" t="s">
        <v>3</v>
      </c>
      <c r="J1026" s="13" t="s">
        <v>2</v>
      </c>
      <c r="L1026" s="13">
        <f>AD998</f>
        <v>2.4591940000000001</v>
      </c>
    </row>
    <row r="1027" spans="1:12" x14ac:dyDescent="0.35">
      <c r="A1027" s="4"/>
      <c r="G1027" s="1"/>
      <c r="H1027" s="13">
        <v>8</v>
      </c>
      <c r="I1027" s="13" t="s">
        <v>1</v>
      </c>
      <c r="J1027" s="13" t="s">
        <v>0</v>
      </c>
      <c r="L1027" s="13">
        <f>AD999</f>
        <v>2.4675240000000001</v>
      </c>
    </row>
    <row r="1028" spans="1:12" x14ac:dyDescent="0.35">
      <c r="A1028" s="4"/>
      <c r="G1028" s="1"/>
      <c r="H1028" s="13">
        <v>8</v>
      </c>
      <c r="I1028" s="13" t="s">
        <v>1</v>
      </c>
      <c r="J1028" s="13" t="s">
        <v>2</v>
      </c>
      <c r="L1028" s="13">
        <f>AD1000</f>
        <v>2.95845</v>
      </c>
    </row>
    <row r="1029" spans="1:12" x14ac:dyDescent="0.35">
      <c r="A1029" s="4"/>
      <c r="G1029" s="1"/>
      <c r="H1029" s="13">
        <v>9</v>
      </c>
      <c r="I1029" s="13" t="s">
        <v>3</v>
      </c>
      <c r="J1029" s="13" t="s">
        <v>0</v>
      </c>
      <c r="L1029" s="13">
        <f>AE997</f>
        <v>2.0794269999999999</v>
      </c>
    </row>
    <row r="1030" spans="1:12" x14ac:dyDescent="0.35">
      <c r="A1030" s="4"/>
      <c r="G1030" s="1"/>
      <c r="H1030" s="13">
        <v>9</v>
      </c>
      <c r="I1030" s="13" t="s">
        <v>3</v>
      </c>
      <c r="J1030" s="13" t="s">
        <v>2</v>
      </c>
      <c r="L1030" s="13">
        <f>AE998</f>
        <v>2.1735669999999998</v>
      </c>
    </row>
    <row r="1031" spans="1:12" x14ac:dyDescent="0.35">
      <c r="A1031" s="4"/>
      <c r="G1031" s="1"/>
      <c r="H1031" s="13">
        <v>9</v>
      </c>
      <c r="I1031" s="13" t="s">
        <v>1</v>
      </c>
      <c r="J1031" s="13" t="s">
        <v>0</v>
      </c>
      <c r="L1031" s="13">
        <f>AE999</f>
        <v>2.1378409999999999</v>
      </c>
    </row>
    <row r="1032" spans="1:12" x14ac:dyDescent="0.35">
      <c r="A1032" s="4"/>
      <c r="G1032" s="1"/>
      <c r="H1032" s="13">
        <v>9</v>
      </c>
      <c r="I1032" s="13" t="s">
        <v>1</v>
      </c>
      <c r="J1032" s="13" t="s">
        <v>2</v>
      </c>
      <c r="L1032" s="13">
        <f>AE1000</f>
        <v>2.419705</v>
      </c>
    </row>
    <row r="1033" spans="1:12" x14ac:dyDescent="0.35">
      <c r="A1033" s="4"/>
      <c r="G1033" s="1"/>
      <c r="H1033" s="13">
        <v>10</v>
      </c>
      <c r="I1033" s="13" t="s">
        <v>3</v>
      </c>
      <c r="J1033" s="13" t="s">
        <v>0</v>
      </c>
      <c r="L1033" s="13">
        <f>AF997</f>
        <v>1.8116730000000001</v>
      </c>
    </row>
    <row r="1034" spans="1:12" x14ac:dyDescent="0.35">
      <c r="A1034" s="4"/>
      <c r="G1034" s="1"/>
      <c r="H1034" s="13">
        <v>10</v>
      </c>
      <c r="I1034" s="13" t="s">
        <v>3</v>
      </c>
      <c r="J1034" s="13" t="s">
        <v>2</v>
      </c>
      <c r="L1034" s="13">
        <f t="shared" ref="L1034:L1036" si="23">AF998</f>
        <v>1.968769</v>
      </c>
    </row>
    <row r="1035" spans="1:12" x14ac:dyDescent="0.35">
      <c r="A1035" s="4"/>
      <c r="G1035" s="1"/>
      <c r="H1035" s="13">
        <v>10</v>
      </c>
      <c r="I1035" s="13" t="s">
        <v>1</v>
      </c>
      <c r="J1035" s="13" t="s">
        <v>0</v>
      </c>
      <c r="L1035" s="13">
        <f t="shared" si="23"/>
        <v>1.609057</v>
      </c>
    </row>
    <row r="1036" spans="1:12" x14ac:dyDescent="0.35">
      <c r="A1036" s="3"/>
      <c r="G1036" s="1"/>
      <c r="H1036" s="13">
        <v>10</v>
      </c>
      <c r="I1036" s="13" t="s">
        <v>1</v>
      </c>
      <c r="J1036" s="13" t="s">
        <v>2</v>
      </c>
      <c r="L1036" s="13">
        <f t="shared" si="23"/>
        <v>1.7728820000000001</v>
      </c>
    </row>
    <row r="1037" spans="1:12" x14ac:dyDescent="0.35">
      <c r="A1037" s="3" t="s">
        <v>7</v>
      </c>
      <c r="B1037" s="3"/>
      <c r="C1037" s="3"/>
      <c r="D1037" s="3" t="s">
        <v>10</v>
      </c>
      <c r="E1037" s="3" t="s">
        <v>9</v>
      </c>
      <c r="F1037" s="3" t="s">
        <v>8</v>
      </c>
      <c r="G1037" s="5">
        <v>40</v>
      </c>
      <c r="H1037" s="13">
        <v>1</v>
      </c>
      <c r="I1037" s="13" t="s">
        <v>3</v>
      </c>
      <c r="J1037" s="13" t="s">
        <v>0</v>
      </c>
    </row>
    <row r="1038" spans="1:12" x14ac:dyDescent="0.35">
      <c r="A1038" s="2"/>
      <c r="G1038" s="1"/>
      <c r="H1038" s="13">
        <v>1</v>
      </c>
      <c r="I1038" s="13" t="s">
        <v>3</v>
      </c>
      <c r="J1038" s="13" t="s">
        <v>2</v>
      </c>
    </row>
    <row r="1039" spans="1:12" x14ac:dyDescent="0.35">
      <c r="A1039" s="2"/>
      <c r="G1039" s="1"/>
      <c r="H1039" s="13">
        <v>1</v>
      </c>
      <c r="I1039" s="13" t="s">
        <v>1</v>
      </c>
      <c r="J1039" s="13" t="s">
        <v>0</v>
      </c>
    </row>
    <row r="1040" spans="1:12" x14ac:dyDescent="0.35">
      <c r="A1040" s="2"/>
      <c r="G1040" s="1"/>
      <c r="H1040" s="13">
        <v>1</v>
      </c>
      <c r="I1040" s="13" t="s">
        <v>1</v>
      </c>
      <c r="J1040" s="13" t="s">
        <v>2</v>
      </c>
    </row>
    <row r="1041" spans="1:10" x14ac:dyDescent="0.35">
      <c r="A1041" s="2"/>
      <c r="G1041" s="1"/>
      <c r="H1041" s="13">
        <v>2</v>
      </c>
      <c r="I1041" s="13" t="s">
        <v>3</v>
      </c>
      <c r="J1041" s="13" t="s">
        <v>0</v>
      </c>
    </row>
    <row r="1042" spans="1:10" x14ac:dyDescent="0.35">
      <c r="A1042" s="2"/>
      <c r="G1042" s="1"/>
      <c r="H1042" s="13">
        <v>2</v>
      </c>
      <c r="I1042" s="13" t="s">
        <v>3</v>
      </c>
      <c r="J1042" s="13" t="s">
        <v>2</v>
      </c>
    </row>
    <row r="1043" spans="1:10" x14ac:dyDescent="0.35">
      <c r="A1043" s="2"/>
      <c r="G1043" s="1"/>
      <c r="H1043" s="13">
        <v>2</v>
      </c>
      <c r="I1043" s="13" t="s">
        <v>1</v>
      </c>
      <c r="J1043" s="13" t="s">
        <v>0</v>
      </c>
    </row>
    <row r="1044" spans="1:10" x14ac:dyDescent="0.35">
      <c r="A1044" s="2"/>
      <c r="G1044" s="1"/>
      <c r="H1044" s="13">
        <v>2</v>
      </c>
      <c r="I1044" s="13" t="s">
        <v>1</v>
      </c>
      <c r="J1044" s="13" t="s">
        <v>2</v>
      </c>
    </row>
    <row r="1045" spans="1:10" x14ac:dyDescent="0.35">
      <c r="A1045" s="2"/>
      <c r="G1045" s="1"/>
      <c r="H1045" s="13">
        <v>3</v>
      </c>
      <c r="I1045" s="13" t="s">
        <v>3</v>
      </c>
      <c r="J1045" s="13" t="s">
        <v>0</v>
      </c>
    </row>
    <row r="1046" spans="1:10" x14ac:dyDescent="0.35">
      <c r="A1046" s="2"/>
      <c r="G1046" s="1"/>
      <c r="H1046" s="13">
        <v>3</v>
      </c>
      <c r="I1046" s="13" t="s">
        <v>3</v>
      </c>
      <c r="J1046" s="13" t="s">
        <v>2</v>
      </c>
    </row>
    <row r="1047" spans="1:10" x14ac:dyDescent="0.35">
      <c r="A1047" s="2"/>
      <c r="G1047" s="1"/>
      <c r="H1047" s="13">
        <v>3</v>
      </c>
      <c r="I1047" s="13" t="s">
        <v>1</v>
      </c>
      <c r="J1047" s="13" t="s">
        <v>0</v>
      </c>
    </row>
    <row r="1048" spans="1:10" x14ac:dyDescent="0.35">
      <c r="A1048" s="2"/>
      <c r="G1048" s="1"/>
      <c r="H1048" s="13">
        <v>3</v>
      </c>
      <c r="I1048" s="13" t="s">
        <v>1</v>
      </c>
      <c r="J1048" s="13" t="s">
        <v>2</v>
      </c>
    </row>
    <row r="1049" spans="1:10" x14ac:dyDescent="0.35">
      <c r="A1049" s="2"/>
      <c r="G1049" s="1"/>
      <c r="H1049" s="13">
        <v>4</v>
      </c>
      <c r="I1049" s="13" t="s">
        <v>3</v>
      </c>
      <c r="J1049" s="13" t="s">
        <v>0</v>
      </c>
    </row>
    <row r="1050" spans="1:10" x14ac:dyDescent="0.35">
      <c r="A1050" s="2"/>
      <c r="G1050" s="1"/>
      <c r="H1050" s="13">
        <v>4</v>
      </c>
      <c r="I1050" s="13" t="s">
        <v>3</v>
      </c>
      <c r="J1050" s="13" t="s">
        <v>2</v>
      </c>
    </row>
    <row r="1051" spans="1:10" x14ac:dyDescent="0.35">
      <c r="A1051" s="2"/>
      <c r="G1051" s="1"/>
      <c r="H1051" s="13">
        <v>4</v>
      </c>
      <c r="I1051" s="13" t="s">
        <v>1</v>
      </c>
      <c r="J1051" s="13" t="s">
        <v>0</v>
      </c>
    </row>
    <row r="1052" spans="1:10" x14ac:dyDescent="0.35">
      <c r="A1052" s="2"/>
      <c r="G1052" s="1"/>
      <c r="H1052" s="13">
        <v>4</v>
      </c>
      <c r="I1052" s="13" t="s">
        <v>1</v>
      </c>
      <c r="J1052" s="13" t="s">
        <v>2</v>
      </c>
    </row>
    <row r="1053" spans="1:10" x14ac:dyDescent="0.35">
      <c r="A1053" s="2"/>
      <c r="G1053" s="1"/>
      <c r="H1053" s="13">
        <v>5</v>
      </c>
      <c r="I1053" s="13" t="s">
        <v>3</v>
      </c>
      <c r="J1053" s="13" t="s">
        <v>0</v>
      </c>
    </row>
    <row r="1054" spans="1:10" x14ac:dyDescent="0.35">
      <c r="A1054" s="2"/>
      <c r="G1054" s="1"/>
      <c r="H1054" s="13">
        <v>5</v>
      </c>
      <c r="I1054" s="13" t="s">
        <v>3</v>
      </c>
      <c r="J1054" s="13" t="s">
        <v>2</v>
      </c>
    </row>
    <row r="1055" spans="1:10" x14ac:dyDescent="0.35">
      <c r="A1055" s="2"/>
      <c r="G1055" s="1"/>
      <c r="H1055" s="13">
        <v>5</v>
      </c>
      <c r="I1055" s="13" t="s">
        <v>1</v>
      </c>
      <c r="J1055" s="13" t="s">
        <v>0</v>
      </c>
    </row>
    <row r="1056" spans="1:10" x14ac:dyDescent="0.35">
      <c r="A1056" s="2"/>
      <c r="G1056" s="1"/>
      <c r="H1056" s="13">
        <v>5</v>
      </c>
      <c r="I1056" s="13" t="s">
        <v>1</v>
      </c>
      <c r="J1056" s="13" t="s">
        <v>2</v>
      </c>
    </row>
    <row r="1057" spans="1:10" x14ac:dyDescent="0.35">
      <c r="A1057" s="2"/>
      <c r="G1057" s="1"/>
      <c r="H1057" s="13">
        <v>6</v>
      </c>
      <c r="I1057" s="13" t="s">
        <v>3</v>
      </c>
      <c r="J1057" s="13" t="s">
        <v>0</v>
      </c>
    </row>
    <row r="1058" spans="1:10" x14ac:dyDescent="0.35">
      <c r="A1058" s="2"/>
      <c r="G1058" s="1"/>
      <c r="H1058" s="13">
        <v>6</v>
      </c>
      <c r="I1058" s="13" t="s">
        <v>3</v>
      </c>
      <c r="J1058" s="13" t="s">
        <v>2</v>
      </c>
    </row>
    <row r="1059" spans="1:10" x14ac:dyDescent="0.35">
      <c r="A1059" s="2"/>
      <c r="G1059" s="1"/>
      <c r="H1059" s="13">
        <v>6</v>
      </c>
      <c r="I1059" s="13" t="s">
        <v>1</v>
      </c>
      <c r="J1059" s="13" t="s">
        <v>0</v>
      </c>
    </row>
    <row r="1060" spans="1:10" x14ac:dyDescent="0.35">
      <c r="A1060" s="2"/>
      <c r="G1060" s="1"/>
      <c r="H1060" s="13">
        <v>6</v>
      </c>
      <c r="I1060" s="13" t="s">
        <v>1</v>
      </c>
      <c r="J1060" s="13" t="s">
        <v>2</v>
      </c>
    </row>
    <row r="1061" spans="1:10" x14ac:dyDescent="0.35">
      <c r="A1061" s="2"/>
      <c r="G1061" s="1"/>
      <c r="H1061" s="13">
        <v>7</v>
      </c>
      <c r="I1061" s="13" t="s">
        <v>3</v>
      </c>
      <c r="J1061" s="13" t="s">
        <v>0</v>
      </c>
    </row>
    <row r="1062" spans="1:10" x14ac:dyDescent="0.35">
      <c r="A1062" s="2"/>
      <c r="G1062" s="1"/>
      <c r="H1062" s="13">
        <v>7</v>
      </c>
      <c r="I1062" s="13" t="s">
        <v>3</v>
      </c>
      <c r="J1062" s="13" t="s">
        <v>2</v>
      </c>
    </row>
    <row r="1063" spans="1:10" x14ac:dyDescent="0.35">
      <c r="A1063" s="2"/>
      <c r="G1063" s="1"/>
      <c r="H1063" s="13">
        <v>7</v>
      </c>
      <c r="I1063" s="13" t="s">
        <v>1</v>
      </c>
      <c r="J1063" s="13" t="s">
        <v>0</v>
      </c>
    </row>
    <row r="1064" spans="1:10" x14ac:dyDescent="0.35">
      <c r="A1064" s="2"/>
      <c r="G1064" s="1"/>
      <c r="H1064" s="13">
        <v>7</v>
      </c>
      <c r="I1064" s="13" t="s">
        <v>1</v>
      </c>
      <c r="J1064" s="13" t="s">
        <v>2</v>
      </c>
    </row>
    <row r="1065" spans="1:10" x14ac:dyDescent="0.35">
      <c r="A1065" s="2"/>
      <c r="G1065" s="1"/>
      <c r="H1065" s="13">
        <v>8</v>
      </c>
      <c r="I1065" s="13" t="s">
        <v>3</v>
      </c>
      <c r="J1065" s="13" t="s">
        <v>0</v>
      </c>
    </row>
    <row r="1066" spans="1:10" x14ac:dyDescent="0.35">
      <c r="A1066" s="2"/>
      <c r="G1066" s="1"/>
      <c r="H1066" s="13">
        <v>8</v>
      </c>
      <c r="I1066" s="13" t="s">
        <v>3</v>
      </c>
      <c r="J1066" s="13" t="s">
        <v>2</v>
      </c>
    </row>
    <row r="1067" spans="1:10" x14ac:dyDescent="0.35">
      <c r="A1067" s="2"/>
      <c r="G1067" s="1"/>
      <c r="H1067" s="13">
        <v>8</v>
      </c>
      <c r="I1067" s="13" t="s">
        <v>1</v>
      </c>
      <c r="J1067" s="13" t="s">
        <v>0</v>
      </c>
    </row>
    <row r="1068" spans="1:10" x14ac:dyDescent="0.35">
      <c r="A1068" s="2"/>
      <c r="G1068" s="1"/>
      <c r="H1068" s="13">
        <v>8</v>
      </c>
      <c r="I1068" s="13" t="s">
        <v>1</v>
      </c>
      <c r="J1068" s="13" t="s">
        <v>2</v>
      </c>
    </row>
    <row r="1069" spans="1:10" x14ac:dyDescent="0.35">
      <c r="A1069" s="2"/>
      <c r="G1069" s="1"/>
      <c r="H1069" s="13">
        <v>9</v>
      </c>
      <c r="I1069" s="13" t="s">
        <v>3</v>
      </c>
      <c r="J1069" s="13" t="s">
        <v>0</v>
      </c>
    </row>
    <row r="1070" spans="1:10" x14ac:dyDescent="0.35">
      <c r="A1070" s="2"/>
      <c r="G1070" s="1"/>
      <c r="H1070" s="13">
        <v>9</v>
      </c>
      <c r="I1070" s="13" t="s">
        <v>3</v>
      </c>
      <c r="J1070" s="13" t="s">
        <v>2</v>
      </c>
    </row>
    <row r="1071" spans="1:10" x14ac:dyDescent="0.35">
      <c r="A1071" s="2"/>
      <c r="G1071" s="1"/>
      <c r="H1071" s="13">
        <v>9</v>
      </c>
      <c r="I1071" s="13" t="s">
        <v>1</v>
      </c>
      <c r="J1071" s="13" t="s">
        <v>0</v>
      </c>
    </row>
    <row r="1072" spans="1:10" x14ac:dyDescent="0.35">
      <c r="A1072" s="2"/>
      <c r="G1072" s="1"/>
      <c r="H1072" s="13">
        <v>9</v>
      </c>
      <c r="I1072" s="13" t="s">
        <v>1</v>
      </c>
      <c r="J1072" s="13" t="s">
        <v>2</v>
      </c>
    </row>
    <row r="1073" spans="1:10" x14ac:dyDescent="0.35">
      <c r="A1073" s="2"/>
      <c r="G1073" s="1"/>
      <c r="H1073" s="13">
        <v>10</v>
      </c>
      <c r="I1073" s="13" t="s">
        <v>3</v>
      </c>
      <c r="J1073" s="13" t="s">
        <v>0</v>
      </c>
    </row>
    <row r="1074" spans="1:10" x14ac:dyDescent="0.35">
      <c r="A1074" s="2"/>
      <c r="G1074" s="1"/>
      <c r="H1074" s="13">
        <v>10</v>
      </c>
      <c r="I1074" s="13" t="s">
        <v>3</v>
      </c>
      <c r="J1074" s="13" t="s">
        <v>2</v>
      </c>
    </row>
    <row r="1075" spans="1:10" x14ac:dyDescent="0.35">
      <c r="A1075" s="2"/>
      <c r="G1075" s="1"/>
      <c r="H1075" s="13">
        <v>10</v>
      </c>
      <c r="I1075" s="13" t="s">
        <v>1</v>
      </c>
      <c r="J1075" s="13" t="s">
        <v>0</v>
      </c>
    </row>
    <row r="1076" spans="1:10" x14ac:dyDescent="0.35">
      <c r="A1076" s="2"/>
      <c r="G1076" s="1"/>
      <c r="H1076" s="13">
        <v>10</v>
      </c>
      <c r="I1076" s="13" t="s">
        <v>1</v>
      </c>
      <c r="J1076" s="13" t="s">
        <v>2</v>
      </c>
    </row>
    <row r="1077" spans="1:10" x14ac:dyDescent="0.35">
      <c r="A1077" s="3" t="s">
        <v>7</v>
      </c>
      <c r="B1077" s="3"/>
      <c r="C1077" s="3"/>
      <c r="D1077" s="3" t="s">
        <v>6</v>
      </c>
      <c r="E1077" s="3" t="s">
        <v>5</v>
      </c>
      <c r="F1077" s="3" t="s">
        <v>4</v>
      </c>
      <c r="G1077" s="5">
        <v>40</v>
      </c>
      <c r="H1077" s="13">
        <v>1</v>
      </c>
      <c r="I1077" s="13" t="s">
        <v>3</v>
      </c>
      <c r="J1077" s="13" t="s">
        <v>0</v>
      </c>
    </row>
    <row r="1078" spans="1:10" x14ac:dyDescent="0.35">
      <c r="H1078" s="13">
        <v>1</v>
      </c>
      <c r="I1078" s="13" t="s">
        <v>3</v>
      </c>
      <c r="J1078" s="13" t="s">
        <v>2</v>
      </c>
    </row>
    <row r="1079" spans="1:10" x14ac:dyDescent="0.35">
      <c r="H1079" s="13">
        <v>1</v>
      </c>
      <c r="I1079" s="13" t="s">
        <v>1</v>
      </c>
      <c r="J1079" s="13" t="s">
        <v>0</v>
      </c>
    </row>
    <row r="1080" spans="1:10" x14ac:dyDescent="0.35">
      <c r="H1080" s="13">
        <v>1</v>
      </c>
      <c r="I1080" s="13" t="s">
        <v>1</v>
      </c>
      <c r="J1080" s="13" t="s">
        <v>2</v>
      </c>
    </row>
    <row r="1081" spans="1:10" x14ac:dyDescent="0.35">
      <c r="H1081" s="13">
        <v>2</v>
      </c>
      <c r="I1081" s="13" t="s">
        <v>3</v>
      </c>
      <c r="J1081" s="13" t="s">
        <v>0</v>
      </c>
    </row>
    <row r="1082" spans="1:10" x14ac:dyDescent="0.35">
      <c r="H1082" s="13">
        <v>2</v>
      </c>
      <c r="I1082" s="13" t="s">
        <v>3</v>
      </c>
      <c r="J1082" s="13" t="s">
        <v>2</v>
      </c>
    </row>
    <row r="1083" spans="1:10" x14ac:dyDescent="0.35">
      <c r="H1083" s="13">
        <v>2</v>
      </c>
      <c r="I1083" s="13" t="s">
        <v>1</v>
      </c>
      <c r="J1083" s="13" t="s">
        <v>0</v>
      </c>
    </row>
    <row r="1084" spans="1:10" x14ac:dyDescent="0.35">
      <c r="H1084" s="13">
        <v>2</v>
      </c>
      <c r="I1084" s="13" t="s">
        <v>1</v>
      </c>
      <c r="J1084" s="13" t="s">
        <v>2</v>
      </c>
    </row>
    <row r="1085" spans="1:10" x14ac:dyDescent="0.35">
      <c r="H1085" s="13">
        <v>3</v>
      </c>
      <c r="I1085" s="13" t="s">
        <v>3</v>
      </c>
      <c r="J1085" s="13" t="s">
        <v>0</v>
      </c>
    </row>
    <row r="1086" spans="1:10" x14ac:dyDescent="0.35">
      <c r="H1086" s="13">
        <v>3</v>
      </c>
      <c r="I1086" s="13" t="s">
        <v>3</v>
      </c>
      <c r="J1086" s="13" t="s">
        <v>2</v>
      </c>
    </row>
    <row r="1087" spans="1:10" x14ac:dyDescent="0.35">
      <c r="H1087" s="13">
        <v>3</v>
      </c>
      <c r="I1087" s="13" t="s">
        <v>1</v>
      </c>
      <c r="J1087" s="13" t="s">
        <v>0</v>
      </c>
    </row>
    <row r="1088" spans="1:10" x14ac:dyDescent="0.35">
      <c r="H1088" s="13">
        <v>3</v>
      </c>
      <c r="I1088" s="13" t="s">
        <v>1</v>
      </c>
      <c r="J1088" s="13" t="s">
        <v>2</v>
      </c>
    </row>
    <row r="1089" spans="8:10" x14ac:dyDescent="0.35">
      <c r="H1089" s="13">
        <v>4</v>
      </c>
      <c r="I1089" s="13" t="s">
        <v>3</v>
      </c>
      <c r="J1089" s="13" t="s">
        <v>0</v>
      </c>
    </row>
    <row r="1090" spans="8:10" x14ac:dyDescent="0.35">
      <c r="H1090" s="13">
        <v>4</v>
      </c>
      <c r="I1090" s="13" t="s">
        <v>3</v>
      </c>
      <c r="J1090" s="13" t="s">
        <v>2</v>
      </c>
    </row>
    <row r="1091" spans="8:10" x14ac:dyDescent="0.35">
      <c r="H1091" s="13">
        <v>4</v>
      </c>
      <c r="I1091" s="13" t="s">
        <v>1</v>
      </c>
      <c r="J1091" s="13" t="s">
        <v>0</v>
      </c>
    </row>
    <row r="1092" spans="8:10" x14ac:dyDescent="0.35">
      <c r="H1092" s="13">
        <v>4</v>
      </c>
      <c r="I1092" s="13" t="s">
        <v>1</v>
      </c>
      <c r="J1092" s="13" t="s">
        <v>2</v>
      </c>
    </row>
    <row r="1093" spans="8:10" x14ac:dyDescent="0.35">
      <c r="H1093" s="13">
        <v>5</v>
      </c>
      <c r="I1093" s="13" t="s">
        <v>3</v>
      </c>
      <c r="J1093" s="13" t="s">
        <v>0</v>
      </c>
    </row>
    <row r="1094" spans="8:10" x14ac:dyDescent="0.35">
      <c r="H1094" s="13">
        <v>5</v>
      </c>
      <c r="I1094" s="13" t="s">
        <v>3</v>
      </c>
      <c r="J1094" s="13" t="s">
        <v>2</v>
      </c>
    </row>
    <row r="1095" spans="8:10" x14ac:dyDescent="0.35">
      <c r="H1095" s="13">
        <v>5</v>
      </c>
      <c r="I1095" s="13" t="s">
        <v>1</v>
      </c>
      <c r="J1095" s="13" t="s">
        <v>0</v>
      </c>
    </row>
    <row r="1096" spans="8:10" x14ac:dyDescent="0.35">
      <c r="H1096" s="13">
        <v>5</v>
      </c>
      <c r="I1096" s="13" t="s">
        <v>1</v>
      </c>
      <c r="J1096" s="13" t="s">
        <v>2</v>
      </c>
    </row>
    <row r="1097" spans="8:10" x14ac:dyDescent="0.35">
      <c r="H1097" s="13">
        <v>6</v>
      </c>
      <c r="I1097" s="13" t="s">
        <v>3</v>
      </c>
      <c r="J1097" s="13" t="s">
        <v>0</v>
      </c>
    </row>
    <row r="1098" spans="8:10" x14ac:dyDescent="0.35">
      <c r="H1098" s="13">
        <v>6</v>
      </c>
      <c r="I1098" s="13" t="s">
        <v>3</v>
      </c>
      <c r="J1098" s="13" t="s">
        <v>2</v>
      </c>
    </row>
    <row r="1099" spans="8:10" x14ac:dyDescent="0.35">
      <c r="H1099" s="13">
        <v>6</v>
      </c>
      <c r="I1099" s="13" t="s">
        <v>1</v>
      </c>
      <c r="J1099" s="13" t="s">
        <v>0</v>
      </c>
    </row>
    <row r="1100" spans="8:10" x14ac:dyDescent="0.35">
      <c r="H1100" s="13">
        <v>6</v>
      </c>
      <c r="I1100" s="13" t="s">
        <v>1</v>
      </c>
      <c r="J1100" s="13" t="s">
        <v>2</v>
      </c>
    </row>
    <row r="1101" spans="8:10" x14ac:dyDescent="0.35">
      <c r="H1101" s="13">
        <v>7</v>
      </c>
      <c r="I1101" s="13" t="s">
        <v>3</v>
      </c>
      <c r="J1101" s="13" t="s">
        <v>0</v>
      </c>
    </row>
    <row r="1102" spans="8:10" x14ac:dyDescent="0.35">
      <c r="H1102" s="13">
        <v>7</v>
      </c>
      <c r="I1102" s="13" t="s">
        <v>3</v>
      </c>
      <c r="J1102" s="13" t="s">
        <v>2</v>
      </c>
    </row>
    <row r="1103" spans="8:10" x14ac:dyDescent="0.35">
      <c r="H1103" s="13">
        <v>7</v>
      </c>
      <c r="I1103" s="13" t="s">
        <v>1</v>
      </c>
      <c r="J1103" s="13" t="s">
        <v>0</v>
      </c>
    </row>
    <row r="1104" spans="8:10" x14ac:dyDescent="0.35">
      <c r="H1104" s="13">
        <v>7</v>
      </c>
      <c r="I1104" s="13" t="s">
        <v>1</v>
      </c>
      <c r="J1104" s="13" t="s">
        <v>2</v>
      </c>
    </row>
    <row r="1105" spans="8:10" x14ac:dyDescent="0.35">
      <c r="H1105" s="13">
        <v>8</v>
      </c>
      <c r="I1105" s="13" t="s">
        <v>3</v>
      </c>
      <c r="J1105" s="13" t="s">
        <v>0</v>
      </c>
    </row>
    <row r="1106" spans="8:10" x14ac:dyDescent="0.35">
      <c r="H1106" s="13">
        <v>8</v>
      </c>
      <c r="I1106" s="13" t="s">
        <v>3</v>
      </c>
      <c r="J1106" s="13" t="s">
        <v>2</v>
      </c>
    </row>
    <row r="1107" spans="8:10" x14ac:dyDescent="0.35">
      <c r="H1107" s="13">
        <v>8</v>
      </c>
      <c r="I1107" s="13" t="s">
        <v>1</v>
      </c>
      <c r="J1107" s="13" t="s">
        <v>0</v>
      </c>
    </row>
    <row r="1108" spans="8:10" x14ac:dyDescent="0.35">
      <c r="H1108" s="13">
        <v>8</v>
      </c>
      <c r="I1108" s="13" t="s">
        <v>1</v>
      </c>
      <c r="J1108" s="13" t="s">
        <v>2</v>
      </c>
    </row>
    <row r="1109" spans="8:10" x14ac:dyDescent="0.35">
      <c r="H1109" s="13">
        <v>9</v>
      </c>
      <c r="I1109" s="13" t="s">
        <v>3</v>
      </c>
      <c r="J1109" s="13" t="s">
        <v>0</v>
      </c>
    </row>
    <row r="1110" spans="8:10" x14ac:dyDescent="0.35">
      <c r="H1110" s="13">
        <v>9</v>
      </c>
      <c r="I1110" s="13" t="s">
        <v>3</v>
      </c>
      <c r="J1110" s="13" t="s">
        <v>2</v>
      </c>
    </row>
    <row r="1111" spans="8:10" x14ac:dyDescent="0.35">
      <c r="H1111" s="13">
        <v>9</v>
      </c>
      <c r="I1111" s="13" t="s">
        <v>1</v>
      </c>
      <c r="J1111" s="13" t="s">
        <v>0</v>
      </c>
    </row>
    <row r="1112" spans="8:10" x14ac:dyDescent="0.35">
      <c r="H1112" s="13">
        <v>9</v>
      </c>
      <c r="I1112" s="13" t="s">
        <v>1</v>
      </c>
      <c r="J1112" s="13" t="s">
        <v>2</v>
      </c>
    </row>
    <row r="1113" spans="8:10" x14ac:dyDescent="0.35">
      <c r="H1113" s="13">
        <v>10</v>
      </c>
      <c r="I1113" s="13" t="s">
        <v>3</v>
      </c>
      <c r="J1113" s="13" t="s">
        <v>0</v>
      </c>
    </row>
    <row r="1114" spans="8:10" x14ac:dyDescent="0.35">
      <c r="H1114" s="13">
        <v>10</v>
      </c>
      <c r="I1114" s="13" t="s">
        <v>3</v>
      </c>
      <c r="J1114" s="13" t="s">
        <v>2</v>
      </c>
    </row>
    <row r="1115" spans="8:10" x14ac:dyDescent="0.35">
      <c r="H1115" s="13">
        <v>10</v>
      </c>
      <c r="I1115" s="13" t="s">
        <v>1</v>
      </c>
      <c r="J1115" s="13" t="s">
        <v>0</v>
      </c>
    </row>
    <row r="1116" spans="8:10" x14ac:dyDescent="0.35">
      <c r="H1116" s="13">
        <v>10</v>
      </c>
      <c r="I1116" s="13" t="s">
        <v>1</v>
      </c>
      <c r="J1116" s="13" t="s">
        <v>2</v>
      </c>
    </row>
  </sheetData>
  <autoFilter ref="A1:AF1116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workbookViewId="0">
      <selection activeCell="I3" sqref="I3:I16"/>
    </sheetView>
  </sheetViews>
  <sheetFormatPr defaultRowHeight="14.5" x14ac:dyDescent="0.35"/>
  <cols>
    <col min="9" max="10" width="10.08984375" bestFit="1" customWidth="1"/>
  </cols>
  <sheetData>
    <row r="1" spans="1:10" ht="16" x14ac:dyDescent="0.4">
      <c r="A1" s="8" t="s">
        <v>73</v>
      </c>
      <c r="B1" t="s">
        <v>74</v>
      </c>
      <c r="C1">
        <v>66608.62</v>
      </c>
      <c r="D1" t="s">
        <v>75</v>
      </c>
      <c r="I1" s="9">
        <f>C1</f>
        <v>66608.62</v>
      </c>
      <c r="J1" s="9">
        <f>SUM(C2:C15)</f>
        <v>64291.974600000001</v>
      </c>
    </row>
    <row r="2" spans="1:10" ht="16" x14ac:dyDescent="0.4">
      <c r="A2" s="8" t="s">
        <v>76</v>
      </c>
      <c r="B2" t="s">
        <v>74</v>
      </c>
      <c r="C2">
        <v>19340.68</v>
      </c>
      <c r="D2" t="s">
        <v>77</v>
      </c>
    </row>
    <row r="3" spans="1:10" ht="16" x14ac:dyDescent="0.4">
      <c r="A3" s="8" t="s">
        <v>78</v>
      </c>
      <c r="B3" t="s">
        <v>74</v>
      </c>
      <c r="C3">
        <v>1433.3040000000001</v>
      </c>
      <c r="D3" t="s">
        <v>79</v>
      </c>
      <c r="I3" s="10">
        <f>C2/$J$1</f>
        <v>0.30082572701072396</v>
      </c>
    </row>
    <row r="4" spans="1:10" ht="16" x14ac:dyDescent="0.4">
      <c r="A4" s="8" t="s">
        <v>80</v>
      </c>
      <c r="B4" t="s">
        <v>74</v>
      </c>
      <c r="C4">
        <v>1889.1579999999999</v>
      </c>
      <c r="D4" t="s">
        <v>81</v>
      </c>
      <c r="I4" s="10">
        <f t="shared" ref="I4:I16" si="0">C3/$J$1</f>
        <v>2.2293668983064646E-2</v>
      </c>
    </row>
    <row r="5" spans="1:10" ht="16" x14ac:dyDescent="0.4">
      <c r="A5" s="8" t="s">
        <v>82</v>
      </c>
      <c r="B5" t="s">
        <v>74</v>
      </c>
      <c r="C5">
        <v>5681.1289999999999</v>
      </c>
      <c r="D5" t="s">
        <v>83</v>
      </c>
      <c r="I5" s="10">
        <f t="shared" si="0"/>
        <v>2.9384040725978881E-2</v>
      </c>
    </row>
    <row r="6" spans="1:10" ht="16" x14ac:dyDescent="0.4">
      <c r="A6" s="8" t="s">
        <v>84</v>
      </c>
      <c r="B6" t="s">
        <v>85</v>
      </c>
      <c r="C6" t="s">
        <v>86</v>
      </c>
      <c r="D6" t="s">
        <v>87</v>
      </c>
      <c r="I6" s="10">
        <f t="shared" si="0"/>
        <v>8.8364512605901516E-2</v>
      </c>
    </row>
    <row r="7" spans="1:10" ht="16" x14ac:dyDescent="0.4">
      <c r="A7" s="8" t="s">
        <v>88</v>
      </c>
      <c r="B7" t="s">
        <v>74</v>
      </c>
      <c r="C7">
        <v>7288.8159999999998</v>
      </c>
      <c r="D7" t="s">
        <v>89</v>
      </c>
      <c r="I7" s="10" t="e">
        <f t="shared" si="0"/>
        <v>#VALUE!</v>
      </c>
    </row>
    <row r="8" spans="1:10" ht="16" x14ac:dyDescent="0.4">
      <c r="A8" s="8" t="s">
        <v>90</v>
      </c>
      <c r="B8" t="s">
        <v>74</v>
      </c>
      <c r="C8">
        <v>3458.4960000000001</v>
      </c>
      <c r="D8" t="s">
        <v>91</v>
      </c>
      <c r="I8" s="10">
        <f t="shared" si="0"/>
        <v>0.11337054189653088</v>
      </c>
    </row>
    <row r="9" spans="1:10" ht="16" x14ac:dyDescent="0.4">
      <c r="A9" s="8" t="s">
        <v>92</v>
      </c>
      <c r="B9" t="s">
        <v>74</v>
      </c>
      <c r="C9">
        <v>8257.3670000000002</v>
      </c>
      <c r="D9" t="s">
        <v>93</v>
      </c>
      <c r="I9" s="10">
        <f t="shared" si="0"/>
        <v>5.379358810360757E-2</v>
      </c>
    </row>
    <row r="10" spans="1:10" ht="16" x14ac:dyDescent="0.4">
      <c r="A10" s="8" t="s">
        <v>94</v>
      </c>
      <c r="B10" t="s">
        <v>74</v>
      </c>
      <c r="C10">
        <v>1960.027</v>
      </c>
      <c r="D10" t="s">
        <v>95</v>
      </c>
      <c r="I10" s="10">
        <f t="shared" si="0"/>
        <v>0.1284354237270541</v>
      </c>
    </row>
    <row r="11" spans="1:10" ht="16" x14ac:dyDescent="0.4">
      <c r="A11" s="8" t="s">
        <v>96</v>
      </c>
      <c r="B11" t="s">
        <v>74</v>
      </c>
      <c r="C11">
        <v>2009.962</v>
      </c>
      <c r="D11" t="s">
        <v>97</v>
      </c>
      <c r="I11" s="10">
        <f t="shared" si="0"/>
        <v>3.0486340047798127E-2</v>
      </c>
    </row>
    <row r="12" spans="1:10" ht="16" x14ac:dyDescent="0.4">
      <c r="A12" s="8" t="s">
        <v>84</v>
      </c>
      <c r="B12" t="s">
        <v>85</v>
      </c>
      <c r="C12" t="s">
        <v>86</v>
      </c>
      <c r="D12" t="s">
        <v>87</v>
      </c>
      <c r="I12" s="10">
        <f>C11/$J$1</f>
        <v>3.1263031078221072E-2</v>
      </c>
    </row>
    <row r="13" spans="1:10" ht="16" x14ac:dyDescent="0.4">
      <c r="A13" s="8" t="s">
        <v>98</v>
      </c>
      <c r="B13" t="s">
        <v>74</v>
      </c>
      <c r="C13">
        <v>3585.8539999999998</v>
      </c>
      <c r="D13" t="s">
        <v>99</v>
      </c>
      <c r="I13" s="10" t="e">
        <f t="shared" si="0"/>
        <v>#VALUE!</v>
      </c>
    </row>
    <row r="14" spans="1:10" ht="16" x14ac:dyDescent="0.4">
      <c r="A14" s="8" t="s">
        <v>100</v>
      </c>
      <c r="B14" t="s">
        <v>74</v>
      </c>
      <c r="C14">
        <v>909.50660000000005</v>
      </c>
      <c r="D14" t="s">
        <v>101</v>
      </c>
      <c r="I14" s="10">
        <f t="shared" si="0"/>
        <v>5.5774519639656545E-2</v>
      </c>
    </row>
    <row r="15" spans="1:10" ht="16" x14ac:dyDescent="0.4">
      <c r="A15" s="8" t="s">
        <v>102</v>
      </c>
      <c r="B15" t="s">
        <v>74</v>
      </c>
      <c r="C15">
        <v>8477.6749999999993</v>
      </c>
      <c r="D15" t="s">
        <v>103</v>
      </c>
      <c r="I15" s="10">
        <f t="shared" si="0"/>
        <v>1.4146502820275799E-2</v>
      </c>
    </row>
    <row r="16" spans="1:10" x14ac:dyDescent="0.35">
      <c r="I16" s="10">
        <f t="shared" si="0"/>
        <v>0.13186210336118684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f6a24d1-3ff2-402b-b3e6-d032d73fb67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0DC6918B43BD647AC519C6B0DA6C233" ma:contentTypeVersion="17" ma:contentTypeDescription="Create a new document." ma:contentTypeScope="" ma:versionID="ad8824d1f0dd16766170720f2843e81b">
  <xsd:schema xmlns:xsd="http://www.w3.org/2001/XMLSchema" xmlns:xs="http://www.w3.org/2001/XMLSchema" xmlns:p="http://schemas.microsoft.com/office/2006/metadata/properties" xmlns:ns3="4cad42aa-992b-4afa-997c-54de5ba4a73b" xmlns:ns4="9f6a24d1-3ff2-402b-b3e6-d032d73fb67d" targetNamespace="http://schemas.microsoft.com/office/2006/metadata/properties" ma:root="true" ma:fieldsID="c9cd412045e033688a8b00aba74aadbf" ns3:_="" ns4:_="">
    <xsd:import namespace="4cad42aa-992b-4afa-997c-54de5ba4a73b"/>
    <xsd:import namespace="9f6a24d1-3ff2-402b-b3e6-d032d73fb67d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KeyPoints" minOccurs="0"/>
                <xsd:element ref="ns4:MediaServiceKeyPoint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DateTaken" minOccurs="0"/>
                <xsd:element ref="ns4:MediaServiceSearchProperties" minOccurs="0"/>
                <xsd:element ref="ns4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ad42aa-992b-4afa-997c-54de5ba4a73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6a24d1-3ff2-402b-b3e6-d032d73fb6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011C2D4-8A8C-45D9-B8AE-43340786617D}">
  <ds:schemaRefs>
    <ds:schemaRef ds:uri="4cad42aa-992b-4afa-997c-54de5ba4a73b"/>
    <ds:schemaRef ds:uri="http://schemas.microsoft.com/office/2006/documentManagement/types"/>
    <ds:schemaRef ds:uri="http://purl.org/dc/terms/"/>
    <ds:schemaRef ds:uri="http://www.w3.org/XML/1998/namespace"/>
    <ds:schemaRef ds:uri="9f6a24d1-3ff2-402b-b3e6-d032d73fb67d"/>
    <ds:schemaRef ds:uri="http://purl.org/dc/dcmitype/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DDDBE4D1-6CD9-42AD-8D6B-CC8BC94579C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AC90DD4-9CC0-4279-8281-EB95903F10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cad42aa-992b-4afa-997c-54de5ba4a73b"/>
    <ds:schemaRef ds:uri="9f6a24d1-3ff2-402b-b3e6-d032d73fb67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India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Malerba, Daniele</dc:creator>
  <cp:lastModifiedBy>Malerba, Daniele</cp:lastModifiedBy>
  <dcterms:created xsi:type="dcterms:W3CDTF">2025-01-22T09:02:19Z</dcterms:created>
  <dcterms:modified xsi:type="dcterms:W3CDTF">2025-01-23T14:06:14Z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0x01010050DC6918B43BD647AC519C6B0DA6C233</vt:lpwstr>
  </property>
</Properties>
</file>